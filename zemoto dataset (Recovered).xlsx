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hp\Documents\"/>
    </mc:Choice>
  </mc:AlternateContent>
  <bookViews>
    <workbookView xWindow="0" yWindow="0" windowWidth="20490" windowHeight="7755" activeTab="4"/>
  </bookViews>
  <sheets>
    <sheet name="Sheet2" sheetId="3" r:id="rId1"/>
    <sheet name="Sheet1" sheetId="4" r:id="rId2"/>
    <sheet name="Sheet3" sheetId="5" r:id="rId3"/>
    <sheet name="Sheet4" sheetId="6" r:id="rId4"/>
    <sheet name="Sheet5" sheetId="7" r:id="rId5"/>
    <sheet name="zemoto dataset" sheetId="1" r:id="rId6"/>
    <sheet name="Questions" sheetId="2" r:id="rId7"/>
  </sheets>
  <definedNames>
    <definedName name="_xlnm._FilterDatabase" localSheetId="5" hidden="1">'zemoto dataset'!$A$1:$K$149</definedName>
    <definedName name="Slicer_name">#N/A</definedName>
    <definedName name="Slicer_New_online_orders">#N/A</definedName>
    <definedName name="Slicer_online_order">#N/A</definedName>
    <definedName name="Slicer_rate">#N/A</definedName>
    <definedName name="Slicer_rate1">#N/A</definedName>
    <definedName name="Slicer_votes">#N/A</definedName>
  </definedNames>
  <calcPr calcId="152511"/>
  <pivotCaches>
    <pivotCache cacheId="0" r:id="rId8"/>
    <pivotCache cacheId="12" r:id="rId9"/>
  </pivotCaches>
  <fileRecoveryPr repairLoad="1"/>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 i="2" l="1"/>
  <c r="I149" i="1"/>
  <c r="E149" i="1"/>
  <c r="C149" i="1"/>
  <c r="B149" i="1"/>
  <c r="I148" i="1"/>
  <c r="E148" i="1"/>
  <c r="C148" i="1"/>
  <c r="B148" i="1"/>
  <c r="I147" i="1"/>
  <c r="E147" i="1"/>
  <c r="C147" i="1"/>
  <c r="B147" i="1"/>
  <c r="I146" i="1"/>
  <c r="E146" i="1"/>
  <c r="C146" i="1"/>
  <c r="B146" i="1"/>
  <c r="I145" i="1"/>
  <c r="E145" i="1"/>
  <c r="C145" i="1"/>
  <c r="B145" i="1"/>
  <c r="I144" i="1"/>
  <c r="E144" i="1"/>
  <c r="C144" i="1"/>
  <c r="B144" i="1"/>
  <c r="I143" i="1"/>
  <c r="E143" i="1"/>
  <c r="C143" i="1"/>
  <c r="B143" i="1"/>
  <c r="I142" i="1"/>
  <c r="E142" i="1"/>
  <c r="C142" i="1"/>
  <c r="B142" i="1"/>
  <c r="I141" i="1"/>
  <c r="E141" i="1"/>
  <c r="C141" i="1"/>
  <c r="B141" i="1"/>
  <c r="I140" i="1"/>
  <c r="E140" i="1"/>
  <c r="C140" i="1"/>
  <c r="B140" i="1"/>
  <c r="I139" i="1"/>
  <c r="E139" i="1"/>
  <c r="C139" i="1"/>
  <c r="B139" i="1"/>
  <c r="I138" i="1"/>
  <c r="E138" i="1"/>
  <c r="C138" i="1"/>
  <c r="B138" i="1"/>
  <c r="I137" i="1"/>
  <c r="E137" i="1"/>
  <c r="C137" i="1"/>
  <c r="B137" i="1"/>
  <c r="I136" i="1"/>
  <c r="E136" i="1"/>
  <c r="C136" i="1"/>
  <c r="B136" i="1"/>
  <c r="I135" i="1"/>
  <c r="E135" i="1"/>
  <c r="C135" i="1"/>
  <c r="B135" i="1"/>
  <c r="I134" i="1"/>
  <c r="E134" i="1"/>
  <c r="C134" i="1"/>
  <c r="B134" i="1"/>
  <c r="I133" i="1"/>
  <c r="E133" i="1"/>
  <c r="C133" i="1"/>
  <c r="B133" i="1"/>
  <c r="I132" i="1"/>
  <c r="E132" i="1"/>
  <c r="C132" i="1"/>
  <c r="B132" i="1"/>
  <c r="I131" i="1"/>
  <c r="E131" i="1"/>
  <c r="C131" i="1"/>
  <c r="B131" i="1"/>
  <c r="I130" i="1"/>
  <c r="E130" i="1"/>
  <c r="C130" i="1"/>
  <c r="B130" i="1"/>
  <c r="I129" i="1"/>
  <c r="E129" i="1"/>
  <c r="C129" i="1"/>
  <c r="B129" i="1"/>
  <c r="I128" i="1"/>
  <c r="E128" i="1"/>
  <c r="C128" i="1"/>
  <c r="B128" i="1"/>
  <c r="I127" i="1"/>
  <c r="E127" i="1"/>
  <c r="C127" i="1"/>
  <c r="B127" i="1"/>
  <c r="I126" i="1"/>
  <c r="E126" i="1"/>
  <c r="C126" i="1"/>
  <c r="B126" i="1"/>
  <c r="I125" i="1"/>
  <c r="E125" i="1"/>
  <c r="C125" i="1"/>
  <c r="B125" i="1"/>
  <c r="I124" i="1"/>
  <c r="E124" i="1"/>
  <c r="C124" i="1"/>
  <c r="B124" i="1"/>
  <c r="I123" i="1"/>
  <c r="E123" i="1"/>
  <c r="C123" i="1"/>
  <c r="B123" i="1"/>
  <c r="I122" i="1"/>
  <c r="E122" i="1"/>
  <c r="C122" i="1"/>
  <c r="B122" i="1"/>
  <c r="I121" i="1"/>
  <c r="E121" i="1"/>
  <c r="C121" i="1"/>
  <c r="B121" i="1"/>
  <c r="I120" i="1"/>
  <c r="E120" i="1"/>
  <c r="C120" i="1"/>
  <c r="B120" i="1"/>
  <c r="I119" i="1"/>
  <c r="E119" i="1"/>
  <c r="C119" i="1"/>
  <c r="B119" i="1"/>
  <c r="I118" i="1"/>
  <c r="E118" i="1"/>
  <c r="C118" i="1"/>
  <c r="B118" i="1"/>
  <c r="I117" i="1"/>
  <c r="E117" i="1"/>
  <c r="C117" i="1"/>
  <c r="B117" i="1"/>
  <c r="I116" i="1"/>
  <c r="E116" i="1"/>
  <c r="C116" i="1"/>
  <c r="B116" i="1"/>
  <c r="I115" i="1"/>
  <c r="E115" i="1"/>
  <c r="C115" i="1"/>
  <c r="B115" i="1"/>
  <c r="I114" i="1"/>
  <c r="E114" i="1"/>
  <c r="C114" i="1"/>
  <c r="B114" i="1"/>
  <c r="I113" i="1"/>
  <c r="E113" i="1"/>
  <c r="C113" i="1"/>
  <c r="B113" i="1"/>
  <c r="I112" i="1"/>
  <c r="E112" i="1"/>
  <c r="C112" i="1"/>
  <c r="B112" i="1"/>
  <c r="I111" i="1"/>
  <c r="E111" i="1"/>
  <c r="C111" i="1"/>
  <c r="B111" i="1"/>
  <c r="I110" i="1"/>
  <c r="E110" i="1"/>
  <c r="C110" i="1"/>
  <c r="B110" i="1"/>
  <c r="I109" i="1"/>
  <c r="E109" i="1"/>
  <c r="C109" i="1"/>
  <c r="B109" i="1"/>
  <c r="I108" i="1"/>
  <c r="E108" i="1"/>
  <c r="C108" i="1"/>
  <c r="B108" i="1"/>
  <c r="I107" i="1"/>
  <c r="E107" i="1"/>
  <c r="C107" i="1"/>
  <c r="B107" i="1"/>
  <c r="I106" i="1"/>
  <c r="E106" i="1"/>
  <c r="C106" i="1"/>
  <c r="B106" i="1"/>
  <c r="I105" i="1"/>
  <c r="E105" i="1"/>
  <c r="C105" i="1"/>
  <c r="B105" i="1"/>
  <c r="I104" i="1"/>
  <c r="E104" i="1"/>
  <c r="C104" i="1"/>
  <c r="B104" i="1"/>
  <c r="I103" i="1"/>
  <c r="E103" i="1"/>
  <c r="C103" i="1"/>
  <c r="B103" i="1"/>
  <c r="I102" i="1"/>
  <c r="E102" i="1"/>
  <c r="C102" i="1"/>
  <c r="B102" i="1"/>
  <c r="I101" i="1"/>
  <c r="E101" i="1"/>
  <c r="C101" i="1"/>
  <c r="B101" i="1"/>
  <c r="I100" i="1"/>
  <c r="E100" i="1"/>
  <c r="C100" i="1"/>
  <c r="B100" i="1"/>
  <c r="I99" i="1"/>
  <c r="E99" i="1"/>
  <c r="C99" i="1"/>
  <c r="B99" i="1"/>
  <c r="I98" i="1"/>
  <c r="E98" i="1"/>
  <c r="C98" i="1"/>
  <c r="B98" i="1"/>
  <c r="I97" i="1"/>
  <c r="E97" i="1"/>
  <c r="C97" i="1"/>
  <c r="B97" i="1"/>
  <c r="I96" i="1"/>
  <c r="E96" i="1"/>
  <c r="C96" i="1"/>
  <c r="B96" i="1"/>
  <c r="I95" i="1"/>
  <c r="E95" i="1"/>
  <c r="C95" i="1"/>
  <c r="B95" i="1"/>
  <c r="I94" i="1"/>
  <c r="E94" i="1"/>
  <c r="C94" i="1"/>
  <c r="B94" i="1"/>
  <c r="I93" i="1"/>
  <c r="E93" i="1"/>
  <c r="C93" i="1"/>
  <c r="B93" i="1"/>
  <c r="I92" i="1"/>
  <c r="E92" i="1"/>
  <c r="C92" i="1"/>
  <c r="B92" i="1"/>
  <c r="I91" i="1"/>
  <c r="E91" i="1"/>
  <c r="C91" i="1"/>
  <c r="B91" i="1"/>
  <c r="I90" i="1"/>
  <c r="E90" i="1"/>
  <c r="C90" i="1"/>
  <c r="B90" i="1"/>
  <c r="I89" i="1"/>
  <c r="E89" i="1"/>
  <c r="C89" i="1"/>
  <c r="B89" i="1"/>
  <c r="I88" i="1"/>
  <c r="E88" i="1"/>
  <c r="C88" i="1"/>
  <c r="B88" i="1"/>
  <c r="I87" i="1"/>
  <c r="E87" i="1"/>
  <c r="C87" i="1"/>
  <c r="B87" i="1"/>
  <c r="I86" i="1"/>
  <c r="E86" i="1"/>
  <c r="C86" i="1"/>
  <c r="B86" i="1"/>
  <c r="I85" i="1"/>
  <c r="E85" i="1"/>
  <c r="C85" i="1"/>
  <c r="B85" i="1"/>
  <c r="I84" i="1"/>
  <c r="E84" i="1"/>
  <c r="C84" i="1"/>
  <c r="B84" i="1"/>
  <c r="I83" i="1"/>
  <c r="E83" i="1"/>
  <c r="C83" i="1"/>
  <c r="B83" i="1"/>
  <c r="I82" i="1"/>
  <c r="E82" i="1"/>
  <c r="C82" i="1"/>
  <c r="B82" i="1"/>
  <c r="I81" i="1"/>
  <c r="E81" i="1"/>
  <c r="C81" i="1"/>
  <c r="B81" i="1"/>
  <c r="I80" i="1"/>
  <c r="E80" i="1"/>
  <c r="C80" i="1"/>
  <c r="B80" i="1"/>
  <c r="I79" i="1"/>
  <c r="E79" i="1"/>
  <c r="C79" i="1"/>
  <c r="B79" i="1"/>
  <c r="I78" i="1"/>
  <c r="E78" i="1"/>
  <c r="C78" i="1"/>
  <c r="B78" i="1"/>
  <c r="I77" i="1"/>
  <c r="E77" i="1"/>
  <c r="C77" i="1"/>
  <c r="B77" i="1"/>
  <c r="I76" i="1"/>
  <c r="E76" i="1"/>
  <c r="C76" i="1"/>
  <c r="B76" i="1"/>
  <c r="I75" i="1"/>
  <c r="E75" i="1"/>
  <c r="C75" i="1"/>
  <c r="B75" i="1"/>
  <c r="I74" i="1"/>
  <c r="E74" i="1"/>
  <c r="C74" i="1"/>
  <c r="B74" i="1"/>
  <c r="I73" i="1"/>
  <c r="E73" i="1"/>
  <c r="C73" i="1"/>
  <c r="B73" i="1"/>
  <c r="I72" i="1"/>
  <c r="E72" i="1"/>
  <c r="C72" i="1"/>
  <c r="B72" i="1"/>
  <c r="I71" i="1"/>
  <c r="E71" i="1"/>
  <c r="C71" i="1"/>
  <c r="B71" i="1"/>
  <c r="I70" i="1"/>
  <c r="E70" i="1"/>
  <c r="C70" i="1"/>
  <c r="B70" i="1"/>
  <c r="I69" i="1"/>
  <c r="E69" i="1"/>
  <c r="C69" i="1"/>
  <c r="B69" i="1"/>
  <c r="I68" i="1"/>
  <c r="E68" i="1"/>
  <c r="C68" i="1"/>
  <c r="B68" i="1"/>
  <c r="I67" i="1"/>
  <c r="E67" i="1"/>
  <c r="C67" i="1"/>
  <c r="B67" i="1"/>
  <c r="I66" i="1"/>
  <c r="E66" i="1"/>
  <c r="C66" i="1"/>
  <c r="B66" i="1"/>
  <c r="I65" i="1"/>
  <c r="E65" i="1"/>
  <c r="C65" i="1"/>
  <c r="B65" i="1"/>
  <c r="I64" i="1"/>
  <c r="E64" i="1"/>
  <c r="C64" i="1"/>
  <c r="B64" i="1"/>
  <c r="I63" i="1"/>
  <c r="E63" i="1"/>
  <c r="C63" i="1"/>
  <c r="B63" i="1"/>
  <c r="I62" i="1"/>
  <c r="E62" i="1"/>
  <c r="C62" i="1"/>
  <c r="B62" i="1"/>
  <c r="I61" i="1"/>
  <c r="E61" i="1"/>
  <c r="C61" i="1"/>
  <c r="B61" i="1"/>
  <c r="I60" i="1"/>
  <c r="E60" i="1"/>
  <c r="C60" i="1"/>
  <c r="B60" i="1"/>
  <c r="I59" i="1"/>
  <c r="E59" i="1"/>
  <c r="C59" i="1"/>
  <c r="B59" i="1"/>
  <c r="I58" i="1"/>
  <c r="E58" i="1"/>
  <c r="C58" i="1"/>
  <c r="B58" i="1"/>
  <c r="I57" i="1"/>
  <c r="E57" i="1"/>
  <c r="C57" i="1"/>
  <c r="B57" i="1"/>
  <c r="I56" i="1"/>
  <c r="E56" i="1"/>
  <c r="C56" i="1"/>
  <c r="B56" i="1"/>
  <c r="I55" i="1"/>
  <c r="E55" i="1"/>
  <c r="C55" i="1"/>
  <c r="B55" i="1"/>
  <c r="I54" i="1"/>
  <c r="E54" i="1"/>
  <c r="C54" i="1"/>
  <c r="B54" i="1"/>
  <c r="I53" i="1"/>
  <c r="E53" i="1"/>
  <c r="C53" i="1"/>
  <c r="B53" i="1"/>
  <c r="I52" i="1"/>
  <c r="E52" i="1"/>
  <c r="C52" i="1"/>
  <c r="B52" i="1"/>
  <c r="I51" i="1"/>
  <c r="E51" i="1"/>
  <c r="C51" i="1"/>
  <c r="B51" i="1"/>
  <c r="I50" i="1"/>
  <c r="E50" i="1"/>
  <c r="C50" i="1"/>
  <c r="B50" i="1"/>
  <c r="I49" i="1"/>
  <c r="E49" i="1"/>
  <c r="C49" i="1"/>
  <c r="B49" i="1"/>
  <c r="I48" i="1"/>
  <c r="E48" i="1"/>
  <c r="C48" i="1"/>
  <c r="B48" i="1"/>
  <c r="I47" i="1"/>
  <c r="E47" i="1"/>
  <c r="C47" i="1"/>
  <c r="B47" i="1"/>
  <c r="I46" i="1"/>
  <c r="E46" i="1"/>
  <c r="C46" i="1"/>
  <c r="B46" i="1"/>
  <c r="I45" i="1"/>
  <c r="E45" i="1"/>
  <c r="C45" i="1"/>
  <c r="B45" i="1"/>
  <c r="I44" i="1"/>
  <c r="E44" i="1"/>
  <c r="C44" i="1"/>
  <c r="B44" i="1"/>
  <c r="I43" i="1"/>
  <c r="E43" i="1"/>
  <c r="C43" i="1"/>
  <c r="B43" i="1"/>
  <c r="I42" i="1"/>
  <c r="E42" i="1"/>
  <c r="C42" i="1"/>
  <c r="B42" i="1"/>
  <c r="I41" i="1"/>
  <c r="E41" i="1"/>
  <c r="C41" i="1"/>
  <c r="B41" i="1"/>
  <c r="I40" i="1"/>
  <c r="E40" i="1"/>
  <c r="C40" i="1"/>
  <c r="B40" i="1"/>
  <c r="I39" i="1"/>
  <c r="E39" i="1"/>
  <c r="C39" i="1"/>
  <c r="B39" i="1"/>
  <c r="I38" i="1"/>
  <c r="E38" i="1"/>
  <c r="C38" i="1"/>
  <c r="B38" i="1"/>
  <c r="I37" i="1"/>
  <c r="E37" i="1"/>
  <c r="C37" i="1"/>
  <c r="B37" i="1"/>
  <c r="I36" i="1"/>
  <c r="E36" i="1"/>
  <c r="C36" i="1"/>
  <c r="B36" i="1"/>
  <c r="I35" i="1"/>
  <c r="E35" i="1"/>
  <c r="C35" i="1"/>
  <c r="B35" i="1"/>
  <c r="I34" i="1"/>
  <c r="E34" i="1"/>
  <c r="C34" i="1"/>
  <c r="B34" i="1"/>
  <c r="I33" i="1"/>
  <c r="E33" i="1"/>
  <c r="C33" i="1"/>
  <c r="B33" i="1"/>
  <c r="I32" i="1"/>
  <c r="E32" i="1"/>
  <c r="C32" i="1"/>
  <c r="B32" i="1"/>
  <c r="I31" i="1"/>
  <c r="E31" i="1"/>
  <c r="C31" i="1"/>
  <c r="B31" i="1"/>
  <c r="I30" i="1"/>
  <c r="E30" i="1"/>
  <c r="C30" i="1"/>
  <c r="B30" i="1"/>
  <c r="I29" i="1"/>
  <c r="E29" i="1"/>
  <c r="C29" i="1"/>
  <c r="B29" i="1"/>
  <c r="I28" i="1"/>
  <c r="E28" i="1"/>
  <c r="C28" i="1"/>
  <c r="B28" i="1"/>
  <c r="I27" i="1"/>
  <c r="E27" i="1"/>
  <c r="C27" i="1"/>
  <c r="B27" i="1"/>
  <c r="I26" i="1"/>
  <c r="E26" i="1"/>
  <c r="C26" i="1"/>
  <c r="B26" i="1"/>
  <c r="I25" i="1"/>
  <c r="E25" i="1"/>
  <c r="C25" i="1"/>
  <c r="B25" i="1"/>
  <c r="I24" i="1"/>
  <c r="E24" i="1"/>
  <c r="C24" i="1"/>
  <c r="B24" i="1"/>
  <c r="I23" i="1"/>
  <c r="E23" i="1"/>
  <c r="C23" i="1"/>
  <c r="B23" i="1"/>
  <c r="I22" i="1"/>
  <c r="E22" i="1"/>
  <c r="C22" i="1"/>
  <c r="B22" i="1"/>
  <c r="I21" i="1"/>
  <c r="E21" i="1"/>
  <c r="C21" i="1"/>
  <c r="B21" i="1"/>
  <c r="I20" i="1"/>
  <c r="E20" i="1"/>
  <c r="C20" i="1"/>
  <c r="B20" i="1"/>
  <c r="I19" i="1"/>
  <c r="E19" i="1"/>
  <c r="C19" i="1"/>
  <c r="B19" i="1"/>
  <c r="I18" i="1"/>
  <c r="E18" i="1"/>
  <c r="C18" i="1"/>
  <c r="B18" i="1"/>
  <c r="I17" i="1"/>
  <c r="E17" i="1"/>
  <c r="C17" i="1"/>
  <c r="B17" i="1"/>
  <c r="I16" i="1"/>
  <c r="E16" i="1"/>
  <c r="C16" i="1"/>
  <c r="B16" i="1"/>
  <c r="I15" i="1"/>
  <c r="E15" i="1"/>
  <c r="C15" i="1"/>
  <c r="B15" i="1"/>
  <c r="I14" i="1"/>
  <c r="E14" i="1"/>
  <c r="C14" i="1"/>
  <c r="B14" i="1"/>
  <c r="I13" i="1"/>
  <c r="E13" i="1"/>
  <c r="C13" i="1"/>
  <c r="B13" i="1"/>
  <c r="I12" i="1"/>
  <c r="E12" i="1"/>
  <c r="C12" i="1"/>
  <c r="B12" i="1"/>
  <c r="I11" i="1"/>
  <c r="E11" i="1"/>
  <c r="C11" i="1"/>
  <c r="B11" i="1"/>
  <c r="I10" i="1"/>
  <c r="E10" i="1"/>
  <c r="C10" i="1"/>
  <c r="B10" i="1"/>
  <c r="I9" i="1"/>
  <c r="E9" i="1"/>
  <c r="C9" i="1"/>
  <c r="B9" i="1"/>
  <c r="I8" i="1"/>
  <c r="E8" i="1"/>
  <c r="C8" i="1"/>
  <c r="B8" i="1"/>
  <c r="I7" i="1"/>
  <c r="E7" i="1"/>
  <c r="C7" i="1"/>
  <c r="B7" i="1"/>
  <c r="I6" i="1"/>
  <c r="E6" i="1"/>
  <c r="C6" i="1"/>
  <c r="B6" i="1"/>
  <c r="I5" i="1"/>
  <c r="E5" i="1"/>
  <c r="C5" i="1"/>
  <c r="B5" i="1"/>
  <c r="I4" i="1"/>
  <c r="E4" i="1"/>
  <c r="C4" i="1"/>
  <c r="B4" i="1"/>
  <c r="I3" i="1"/>
  <c r="E3" i="1"/>
  <c r="C3" i="1"/>
  <c r="B3" i="1"/>
  <c r="I2" i="1"/>
  <c r="E2" i="1"/>
  <c r="C2" i="1"/>
  <c r="B2" i="1"/>
</calcChain>
</file>

<file path=xl/sharedStrings.xml><?xml version="1.0" encoding="utf-8"?>
<sst xmlns="http://schemas.openxmlformats.org/spreadsheetml/2006/main" count="806" uniqueCount="193">
  <si>
    <t>name</t>
  </si>
  <si>
    <t>online_order</t>
  </si>
  <si>
    <t>book_table</t>
  </si>
  <si>
    <t>rate</t>
  </si>
  <si>
    <t>votes</t>
  </si>
  <si>
    <t>approx_cost(for two people)</t>
  </si>
  <si>
    <t>listed_in(type)</t>
  </si>
  <si>
    <t>Jalsa</t>
  </si>
  <si>
    <t>Yes</t>
  </si>
  <si>
    <t>4.1/5</t>
  </si>
  <si>
    <t>Buffet</t>
  </si>
  <si>
    <t>Spice Elephant</t>
  </si>
  <si>
    <t>No</t>
  </si>
  <si>
    <t>San Churro Cafe</t>
  </si>
  <si>
    <t>3.8/5</t>
  </si>
  <si>
    <t>Addhuri Udupi Bhojana</t>
  </si>
  <si>
    <t>3.7/5</t>
  </si>
  <si>
    <t>Grand Village</t>
  </si>
  <si>
    <t>Timepass Dinner</t>
  </si>
  <si>
    <t>Rosewood International Hotel - Bar &amp; Restaurant</t>
  </si>
  <si>
    <t>3.6/5</t>
  </si>
  <si>
    <t>Onesta</t>
  </si>
  <si>
    <t>4.6/5</t>
  </si>
  <si>
    <t>Cafes</t>
  </si>
  <si>
    <t>Penthouse Cafe</t>
  </si>
  <si>
    <t>4.0/5</t>
  </si>
  <si>
    <t>other</t>
  </si>
  <si>
    <t>Smacznego</t>
  </si>
  <si>
    <t>4.2/5</t>
  </si>
  <si>
    <t>Village CafÃ©</t>
  </si>
  <si>
    <t>Cafe Shuffle</t>
  </si>
  <si>
    <t>The Coffee Shack</t>
  </si>
  <si>
    <t>Caf-Eleven</t>
  </si>
  <si>
    <t>Cafe Vivacity</t>
  </si>
  <si>
    <t>Catch-up-ino</t>
  </si>
  <si>
    <t>3.9/5</t>
  </si>
  <si>
    <t>Kirthi's Biryani</t>
  </si>
  <si>
    <t>T3H Cafe</t>
  </si>
  <si>
    <t>360 Atoms Restaurant And Cafe</t>
  </si>
  <si>
    <t>3.1/5</t>
  </si>
  <si>
    <t>The Vintage Cafe</t>
  </si>
  <si>
    <t>3.0/5</t>
  </si>
  <si>
    <t>Woodee Pizza</t>
  </si>
  <si>
    <t>Cafe Coffee Day</t>
  </si>
  <si>
    <t>My Tea House</t>
  </si>
  <si>
    <t>Hide Out Cafe</t>
  </si>
  <si>
    <t>CAFE NOVA</t>
  </si>
  <si>
    <t>3.2/5</t>
  </si>
  <si>
    <t>Coffee Tindi</t>
  </si>
  <si>
    <t>Sea Green Cafe</t>
  </si>
  <si>
    <t>3.3/5</t>
  </si>
  <si>
    <t>Cuppa</t>
  </si>
  <si>
    <t>Srinathji's Cafe</t>
  </si>
  <si>
    <t>Redberrys</t>
  </si>
  <si>
    <t>Foodiction</t>
  </si>
  <si>
    <t>2.8/5</t>
  </si>
  <si>
    <t>Sweet Truth</t>
  </si>
  <si>
    <t>Dining</t>
  </si>
  <si>
    <t>Ovenstory Pizza</t>
  </si>
  <si>
    <t>Faasos</t>
  </si>
  <si>
    <t>Behrouz Biryani</t>
  </si>
  <si>
    <t>Fast And Fresh</t>
  </si>
  <si>
    <t>Szechuan Dragon</t>
  </si>
  <si>
    <t>Empire Restaurant</t>
  </si>
  <si>
    <t>4.4/5</t>
  </si>
  <si>
    <t>Maruthi Davangere Benne Dosa</t>
  </si>
  <si>
    <t>Chaatimes</t>
  </si>
  <si>
    <t>Havyaka Mess</t>
  </si>
  <si>
    <t>McDonald's</t>
  </si>
  <si>
    <t>Domino's Pizza</t>
  </si>
  <si>
    <t>Hotboxit</t>
  </si>
  <si>
    <t>Kitchen Garden</t>
  </si>
  <si>
    <t>Recipe</t>
  </si>
  <si>
    <t>Beijing Bites</t>
  </si>
  <si>
    <t>Tasty Bytes</t>
  </si>
  <si>
    <t>Petoo</t>
  </si>
  <si>
    <t>Shree Cool Point</t>
  </si>
  <si>
    <t>Corner House Ice Cream</t>
  </si>
  <si>
    <t>4.3/5</t>
  </si>
  <si>
    <t>Biryanis And More</t>
  </si>
  <si>
    <t>Roving Feast</t>
  </si>
  <si>
    <t>FreshMenu</t>
  </si>
  <si>
    <t>Banashankari Donne Biriyani</t>
  </si>
  <si>
    <t>Wamama</t>
  </si>
  <si>
    <t>Five Star Chicken</t>
  </si>
  <si>
    <t>XO Belgian Waffle</t>
  </si>
  <si>
    <t>Peppy Peppers</t>
  </si>
  <si>
    <t>Goa 0 Km</t>
  </si>
  <si>
    <t>Chinese Kitchen</t>
  </si>
  <si>
    <t>Jeet Restaurant</t>
  </si>
  <si>
    <t>Cake of the Day</t>
  </si>
  <si>
    <t>Kabab Magic</t>
  </si>
  <si>
    <t>Namma Brahmin's Idli</t>
  </si>
  <si>
    <t>Gustoes Beer House</t>
  </si>
  <si>
    <t>Sugar Rush</t>
  </si>
  <si>
    <t>Burger King</t>
  </si>
  <si>
    <t>The Good Bowl</t>
  </si>
  <si>
    <t>The Biryani Cafe</t>
  </si>
  <si>
    <t>Spicy Tandoor</t>
  </si>
  <si>
    <t>LSD Cafe</t>
  </si>
  <si>
    <t>2.9/5</t>
  </si>
  <si>
    <t>Rolls On Wheels</t>
  </si>
  <si>
    <t>Om Sri Vinayaka Chats</t>
  </si>
  <si>
    <t>Sri Guru Kottureshwara Davangere Benne Dosa</t>
  </si>
  <si>
    <t>Devanna Dum Biriyani Centre</t>
  </si>
  <si>
    <t>Kolbeh</t>
  </si>
  <si>
    <t>Upahar Sagar</t>
  </si>
  <si>
    <t>Kadalu Sea Food Restaurant</t>
  </si>
  <si>
    <t>Frozen Bottle</t>
  </si>
  <si>
    <t>Parimala Sweets</t>
  </si>
  <si>
    <t>3.5/5</t>
  </si>
  <si>
    <t>Vaishali Deluxe</t>
  </si>
  <si>
    <t>Chill Out</t>
  </si>
  <si>
    <t>The Big O Bakes</t>
  </si>
  <si>
    <t>Meghana Foods</t>
  </si>
  <si>
    <t>Krishna Sagar</t>
  </si>
  <si>
    <t>Dessert Rose</t>
  </si>
  <si>
    <t>Chickpet Donne Biryani House</t>
  </si>
  <si>
    <t>Me And My Cake</t>
  </si>
  <si>
    <t>Sunsadm</t>
  </si>
  <si>
    <t>Annapooraneshwari Mess</t>
  </si>
  <si>
    <t>Thanco's Natural Ice Creams</t>
  </si>
  <si>
    <t>Nandhini Deluxe</t>
  </si>
  <si>
    <t>2.6/5</t>
  </si>
  <si>
    <t>Vi Ra's Bar and Restaurant</t>
  </si>
  <si>
    <t>Kaggis</t>
  </si>
  <si>
    <t>Ayda Persian Kitchen</t>
  </si>
  <si>
    <t>Chatar Patar</t>
  </si>
  <si>
    <t>Polar Bear</t>
  </si>
  <si>
    <t>Kidambi's Kitchen</t>
  </si>
  <si>
    <t>Mane Thindi</t>
  </si>
  <si>
    <t>Kotian Karavali Restaurant</t>
  </si>
  <si>
    <t>Floured-Baked With Love</t>
  </si>
  <si>
    <t>3.8 /5</t>
  </si>
  <si>
    <t>Cakes &amp; Slices</t>
  </si>
  <si>
    <t>Spice 9</t>
  </si>
  <si>
    <t>3.4/5</t>
  </si>
  <si>
    <t>Coffee Shopee</t>
  </si>
  <si>
    <t>Naveen Kabab &amp; Biriyani Mane</t>
  </si>
  <si>
    <t>Katriguppe Donne Biryani</t>
  </si>
  <si>
    <t>Hari Super Sandwich</t>
  </si>
  <si>
    <t>Atithi Point Ande Ka Funda</t>
  </si>
  <si>
    <t>Just Bake</t>
  </si>
  <si>
    <t>Dharwad Line Bazaar Mishra Pedha</t>
  </si>
  <si>
    <t>Cake Bite</t>
  </si>
  <si>
    <t>Aarush's Food Plaza</t>
  </si>
  <si>
    <t>Wood Stove</t>
  </si>
  <si>
    <t>Kulfi &amp; More</t>
  </si>
  <si>
    <t>Kannadigas Karavali</t>
  </si>
  <si>
    <t>K27 - The Pub</t>
  </si>
  <si>
    <t>Bengaluru Coffee House</t>
  </si>
  <si>
    <t>New Mangalore Lunch Home</t>
  </si>
  <si>
    <t>Coffee Bytes</t>
  </si>
  <si>
    <t>Parjanya Chat Zone</t>
  </si>
  <si>
    <t>Kwality Wall's Swirl's Happiness Station</t>
  </si>
  <si>
    <t>Soms Kitchen &amp; Bakes</t>
  </si>
  <si>
    <t>Banashankari Nati Style</t>
  </si>
  <si>
    <t>Ruchi Maayaka</t>
  </si>
  <si>
    <t>Mohitesh Hut Roll</t>
  </si>
  <si>
    <t>Sri Basaveshwar Jolada Rotti Oota</t>
  </si>
  <si>
    <t>Roll Magic Fast Food</t>
  </si>
  <si>
    <t>Foodlieious Multi Cuisine</t>
  </si>
  <si>
    <t>Thanishka Nati And Karavali Style</t>
  </si>
  <si>
    <t>Swathi Cool Point</t>
  </si>
  <si>
    <t>Kaumudis Juoice</t>
  </si>
  <si>
    <t>Amma - Manae</t>
  </si>
  <si>
    <t>Sri Sai Tiffannies</t>
  </si>
  <si>
    <t>Hotel Andhra Speices</t>
  </si>
  <si>
    <t>Sri Murari Family Restaurant</t>
  </si>
  <si>
    <t>Aramane Donne Biriyani</t>
  </si>
  <si>
    <t>Darkolates</t>
  </si>
  <si>
    <t>Swaada Healthy Kitchen</t>
  </si>
  <si>
    <t>Gawdaru Mane Beriyani</t>
  </si>
  <si>
    <t>Melting Melodies</t>
  </si>
  <si>
    <t>New Indraprasta</t>
  </si>
  <si>
    <t>Anna Kuteera</t>
  </si>
  <si>
    <t>Darbar</t>
  </si>
  <si>
    <t>Vijayalakshmi</t>
  </si>
  <si>
    <t>Onlain Order</t>
  </si>
  <si>
    <t>Ofline Order</t>
  </si>
  <si>
    <t>Total order</t>
  </si>
  <si>
    <t>Row Labels</t>
  </si>
  <si>
    <t>(blank)</t>
  </si>
  <si>
    <t>Grand Total</t>
  </si>
  <si>
    <t>Count of name</t>
  </si>
  <si>
    <t>Restruent name Length</t>
  </si>
  <si>
    <t>Reating vallue</t>
  </si>
  <si>
    <t>New online orders</t>
  </si>
  <si>
    <t>booking afflibel</t>
  </si>
  <si>
    <t>Sum of votes</t>
  </si>
  <si>
    <t>ofline</t>
  </si>
  <si>
    <t>online</t>
  </si>
  <si>
    <t>Count of online_order</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</si>
</sst>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fill>
        <patternFill patternType="solid">
          <fgColor indexed="64"/>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[zemoto dataset (Recovered).xlsx]Sheet2!PivotTable1</c:name>
    <c:fmtId val="0"/>
  </c:pivotSource>
  <c:chart>
    <c:title>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Sheet2!$A$4:$A$25</c:f>
              <c:strCache>
                <c:ptCount val="21"/>
                <c:pt idx="0">
                  <c:v>2.6/5</c:v>
                </c:pt>
                <c:pt idx="1">
                  <c:v>2.8/5</c:v>
                </c:pt>
                <c:pt idx="2">
                  <c:v>2.9/5</c:v>
                </c:pt>
                <c:pt idx="3">
                  <c:v>3.0/5</c:v>
                </c:pt>
                <c:pt idx="4">
                  <c:v>3.1/5</c:v>
                </c:pt>
                <c:pt idx="5">
                  <c:v>3.2/5</c:v>
                </c:pt>
                <c:pt idx="6">
                  <c:v>3.3/5</c:v>
                </c:pt>
                <c:pt idx="7">
                  <c:v>3.4/5</c:v>
                </c:pt>
                <c:pt idx="8">
                  <c:v>3.5/5</c:v>
                </c:pt>
                <c:pt idx="9">
                  <c:v>3.6/5</c:v>
                </c:pt>
                <c:pt idx="10">
                  <c:v>3.7/5</c:v>
                </c:pt>
                <c:pt idx="11">
                  <c:v>3.8 /5</c:v>
                </c:pt>
                <c:pt idx="12">
                  <c:v>3.8/5</c:v>
                </c:pt>
                <c:pt idx="13">
                  <c:v>3.9/5</c:v>
                </c:pt>
                <c:pt idx="14">
                  <c:v>4.0/5</c:v>
                </c:pt>
                <c:pt idx="15">
                  <c:v>4.1/5</c:v>
                </c:pt>
                <c:pt idx="16">
                  <c:v>4.2/5</c:v>
                </c:pt>
                <c:pt idx="17">
                  <c:v>4.3/5</c:v>
                </c:pt>
                <c:pt idx="18">
                  <c:v>4.4/5</c:v>
                </c:pt>
                <c:pt idx="19">
                  <c:v>4.6/5</c:v>
                </c:pt>
                <c:pt idx="20">
                  <c:v>(blank)</c:v>
                </c:pt>
              </c:strCache>
            </c:strRef>
          </c:cat>
          <c:val>
            <c:numRef>
              <c:f>Sheet2!$B$4:$B$25</c:f>
              <c:numCache>
                <c:formatCode>General</c:formatCode>
                <c:ptCount val="21"/>
                <c:pt idx="0">
                  <c:v>1</c:v>
                </c:pt>
                <c:pt idx="1">
                  <c:v>2</c:v>
                </c:pt>
                <c:pt idx="2">
                  <c:v>7</c:v>
                </c:pt>
                <c:pt idx="3">
                  <c:v>2</c:v>
                </c:pt>
                <c:pt idx="4">
                  <c:v>7</c:v>
                </c:pt>
                <c:pt idx="5">
                  <c:v>7</c:v>
                </c:pt>
                <c:pt idx="6">
                  <c:v>14</c:v>
                </c:pt>
                <c:pt idx="7">
                  <c:v>12</c:v>
                </c:pt>
                <c:pt idx="8">
                  <c:v>6</c:v>
                </c:pt>
                <c:pt idx="9">
                  <c:v>11</c:v>
                </c:pt>
                <c:pt idx="10">
                  <c:v>15</c:v>
                </c:pt>
                <c:pt idx="11">
                  <c:v>1</c:v>
                </c:pt>
                <c:pt idx="12">
                  <c:v>19</c:v>
                </c:pt>
                <c:pt idx="13">
                  <c:v>10</c:v>
                </c:pt>
                <c:pt idx="14">
                  <c:v>10</c:v>
                </c:pt>
                <c:pt idx="15">
                  <c:v>11</c:v>
                </c:pt>
                <c:pt idx="16">
                  <c:v>8</c:v>
                </c:pt>
                <c:pt idx="17">
                  <c:v>1</c:v>
                </c:pt>
                <c:pt idx="18">
                  <c:v>2</c:v>
                </c:pt>
                <c:pt idx="19">
                  <c:v>2</c:v>
                </c:pt>
              </c:numCache>
            </c:numRef>
          </c:val>
        </c:ser>
        <c:dLbls>
          <c:dLblPos val="inEnd"/>
          <c:showLegendKey val="0"/>
          <c:showVal val="1"/>
          <c:showCatName val="0"/>
          <c:showSerName val="0"/>
          <c:showPercent val="0"/>
          <c:showBubbleSize val="0"/>
        </c:dLbls>
        <c:gapWidth val="41"/>
        <c:axId val="-89209792"/>
        <c:axId val="-89213600"/>
      </c:barChart>
      <c:catAx>
        <c:axId val="-89209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9213600"/>
        <c:crosses val="autoZero"/>
        <c:auto val="1"/>
        <c:lblAlgn val="ctr"/>
        <c:lblOffset val="100"/>
        <c:noMultiLvlLbl val="0"/>
      </c:catAx>
      <c:valAx>
        <c:axId val="-89213600"/>
        <c:scaling>
          <c:orientation val="minMax"/>
        </c:scaling>
        <c:delete val="1"/>
        <c:axPos val="l"/>
        <c:numFmt formatCode="General" sourceLinked="1"/>
        <c:majorTickMark val="none"/>
        <c:minorTickMark val="none"/>
        <c:tickLblPos val="nextTo"/>
        <c:crossAx val="-89209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[zemoto dataset (Recovered).xlsx]Sheet1!PivotTable1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Sheet1!$A$4:$A$24</c:f>
              <c:strCache>
                <c:ptCount val="20"/>
                <c:pt idx="0">
                  <c:v>2.6/5</c:v>
                </c:pt>
                <c:pt idx="1">
                  <c:v>2.8/5</c:v>
                </c:pt>
                <c:pt idx="2">
                  <c:v>2.9/5</c:v>
                </c:pt>
                <c:pt idx="3">
                  <c:v>3.0/5</c:v>
                </c:pt>
                <c:pt idx="4">
                  <c:v>3.1/5</c:v>
                </c:pt>
                <c:pt idx="5">
                  <c:v>3.2/5</c:v>
                </c:pt>
                <c:pt idx="6">
                  <c:v>3.3/5</c:v>
                </c:pt>
                <c:pt idx="7">
                  <c:v>3.4/5</c:v>
                </c:pt>
                <c:pt idx="8">
                  <c:v>3.5/5</c:v>
                </c:pt>
                <c:pt idx="9">
                  <c:v>3.6/5</c:v>
                </c:pt>
                <c:pt idx="10">
                  <c:v>3.7/5</c:v>
                </c:pt>
                <c:pt idx="11">
                  <c:v>3.8 /5</c:v>
                </c:pt>
                <c:pt idx="12">
                  <c:v>3.8/5</c:v>
                </c:pt>
                <c:pt idx="13">
                  <c:v>3.9/5</c:v>
                </c:pt>
                <c:pt idx="14">
                  <c:v>4.0/5</c:v>
                </c:pt>
                <c:pt idx="15">
                  <c:v>4.1/5</c:v>
                </c:pt>
                <c:pt idx="16">
                  <c:v>4.2/5</c:v>
                </c:pt>
                <c:pt idx="17">
                  <c:v>4.3/5</c:v>
                </c:pt>
                <c:pt idx="18">
                  <c:v>4.4/5</c:v>
                </c:pt>
                <c:pt idx="19">
                  <c:v>4.6/5</c:v>
                </c:pt>
              </c:strCache>
            </c:strRef>
          </c:cat>
          <c:val>
            <c:numRef>
              <c:f>Sheet1!$B$4:$B$24</c:f>
              <c:numCache>
                <c:formatCode>General</c:formatCode>
                <c:ptCount val="20"/>
                <c:pt idx="0">
                  <c:v>283</c:v>
                </c:pt>
                <c:pt idx="1">
                  <c:v>597</c:v>
                </c:pt>
                <c:pt idx="2">
                  <c:v>109</c:v>
                </c:pt>
                <c:pt idx="3">
                  <c:v>160</c:v>
                </c:pt>
                <c:pt idx="4">
                  <c:v>323</c:v>
                </c:pt>
                <c:pt idx="5">
                  <c:v>115</c:v>
                </c:pt>
                <c:pt idx="6">
                  <c:v>121</c:v>
                </c:pt>
                <c:pt idx="7">
                  <c:v>16</c:v>
                </c:pt>
                <c:pt idx="8">
                  <c:v>127</c:v>
                </c:pt>
                <c:pt idx="9">
                  <c:v>927</c:v>
                </c:pt>
                <c:pt idx="10">
                  <c:v>1371</c:v>
                </c:pt>
                <c:pt idx="11">
                  <c:v>45</c:v>
                </c:pt>
                <c:pt idx="12">
                  <c:v>3484</c:v>
                </c:pt>
                <c:pt idx="13">
                  <c:v>2191</c:v>
                </c:pt>
                <c:pt idx="14">
                  <c:v>5098</c:v>
                </c:pt>
                <c:pt idx="15">
                  <c:v>5859</c:v>
                </c:pt>
                <c:pt idx="16">
                  <c:v>3624</c:v>
                </c:pt>
                <c:pt idx="17">
                  <c:v>345</c:v>
                </c:pt>
                <c:pt idx="18">
                  <c:v>9285</c:v>
                </c:pt>
                <c:pt idx="19">
                  <c:v>5112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[zemoto dataset (Recovered).xlsx]Sheet3!PivotTable2</c:name>
    <c:fmtId val="0"/>
  </c:pivotSource>
  <c:chart>
    <c:title>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pivotFmt>
    </c:pivotFmts>
    <c:plotArea>
      <c:layout/>
      <c:lineChart>
        <c:grouping val="standard"/>
        <c:varyColors val="0"/>
        <c:ser>
          <c:idx val="0"/>
          <c:order val="0"/>
          <c:tx>
            <c:strRef>
              <c:f>Sheet3!$B$3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trendline>
            <c:spPr>
              <a:ln w="19050" cap="rnd">
                <a:solidFill>
                  <a:schemeClr val="accent1"/>
                </a:solidFill>
                <a:round/>
              </a:ln>
              <a:effectLst/>
            </c:spPr>
            <c:trendlineType val="linear"/>
            <c:dispRSqr val="0"/>
            <c:dispEq val="0"/>
          </c:trendline>
          <c:cat>
            <c:strRef>
              <c:f>Sheet3!$A$4:$A$6</c:f>
              <c:strCache>
                <c:ptCount val="2"/>
                <c:pt idx="0">
                  <c:v>ofline</c:v>
                </c:pt>
                <c:pt idx="1">
                  <c:v>online</c:v>
                </c:pt>
              </c:strCache>
            </c:strRef>
          </c:cat>
          <c:val>
            <c:numRef>
              <c:f>Sheet3!$B$4:$B$6</c:f>
              <c:numCache>
                <c:formatCode>General</c:formatCode>
                <c:ptCount val="2"/>
                <c:pt idx="0">
                  <c:v>90</c:v>
                </c:pt>
                <c:pt idx="1">
                  <c:v>58</c:v>
                </c:pt>
              </c:numCache>
            </c:numRef>
          </c:val>
          <c:smooth val="0"/>
        </c:ser>
        <c:dLbls>
          <c:showLegendKey val="0"/>
          <c:showVal val="0"/>
          <c:showCatName val="0"/>
          <c:showSerName val="0"/>
          <c:showPercent val="0"/>
          <c:showBubbleSize val="0"/>
        </c:dLbls>
        <c:marker val="1"/>
        <c:smooth val="0"/>
        <c:axId val="-89204352"/>
        <c:axId val="-89207616"/>
      </c:lineChart>
      <c:catAx>
        <c:axId val="-8920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9207616"/>
        <c:crosses val="autoZero"/>
        <c:auto val="1"/>
        <c:lblAlgn val="ctr"/>
        <c:lblOffset val="100"/>
        <c:noMultiLvlLbl val="0"/>
      </c:catAx>
      <c:valAx>
        <c:axId val="-892076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04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[zemoto dataset (Recovered).xlsx]Sheet1!PivotTable1</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Sheet1!$A$4:$A$24</c:f>
              <c:strCache>
                <c:ptCount val="20"/>
                <c:pt idx="0">
                  <c:v>2.6/5</c:v>
                </c:pt>
                <c:pt idx="1">
                  <c:v>2.8/5</c:v>
                </c:pt>
                <c:pt idx="2">
                  <c:v>2.9/5</c:v>
                </c:pt>
                <c:pt idx="3">
                  <c:v>3.0/5</c:v>
                </c:pt>
                <c:pt idx="4">
                  <c:v>3.1/5</c:v>
                </c:pt>
                <c:pt idx="5">
                  <c:v>3.2/5</c:v>
                </c:pt>
                <c:pt idx="6">
                  <c:v>3.3/5</c:v>
                </c:pt>
                <c:pt idx="7">
                  <c:v>3.4/5</c:v>
                </c:pt>
                <c:pt idx="8">
                  <c:v>3.5/5</c:v>
                </c:pt>
                <c:pt idx="9">
                  <c:v>3.6/5</c:v>
                </c:pt>
                <c:pt idx="10">
                  <c:v>3.7/5</c:v>
                </c:pt>
                <c:pt idx="11">
                  <c:v>3.8 /5</c:v>
                </c:pt>
                <c:pt idx="12">
                  <c:v>3.8/5</c:v>
                </c:pt>
                <c:pt idx="13">
                  <c:v>3.9/5</c:v>
                </c:pt>
                <c:pt idx="14">
                  <c:v>4.0/5</c:v>
                </c:pt>
                <c:pt idx="15">
                  <c:v>4.1/5</c:v>
                </c:pt>
                <c:pt idx="16">
                  <c:v>4.2/5</c:v>
                </c:pt>
                <c:pt idx="17">
                  <c:v>4.3/5</c:v>
                </c:pt>
                <c:pt idx="18">
                  <c:v>4.4/5</c:v>
                </c:pt>
                <c:pt idx="19">
                  <c:v>4.6/5</c:v>
                </c:pt>
              </c:strCache>
            </c:strRef>
          </c:cat>
          <c:val>
            <c:numRef>
              <c:f>Sheet1!$B$4:$B$24</c:f>
              <c:numCache>
                <c:formatCode>General</c:formatCode>
                <c:ptCount val="20"/>
                <c:pt idx="0">
                  <c:v>283</c:v>
                </c:pt>
                <c:pt idx="1">
                  <c:v>597</c:v>
                </c:pt>
                <c:pt idx="2">
                  <c:v>109</c:v>
                </c:pt>
                <c:pt idx="3">
                  <c:v>160</c:v>
                </c:pt>
                <c:pt idx="4">
                  <c:v>323</c:v>
                </c:pt>
                <c:pt idx="5">
                  <c:v>115</c:v>
                </c:pt>
                <c:pt idx="6">
                  <c:v>121</c:v>
                </c:pt>
                <c:pt idx="7">
                  <c:v>16</c:v>
                </c:pt>
                <c:pt idx="8">
                  <c:v>127</c:v>
                </c:pt>
                <c:pt idx="9">
                  <c:v>927</c:v>
                </c:pt>
                <c:pt idx="10">
                  <c:v>1371</c:v>
                </c:pt>
                <c:pt idx="11">
                  <c:v>45</c:v>
                </c:pt>
                <c:pt idx="12">
                  <c:v>3484</c:v>
                </c:pt>
                <c:pt idx="13">
                  <c:v>2191</c:v>
                </c:pt>
                <c:pt idx="14">
                  <c:v>5098</c:v>
                </c:pt>
                <c:pt idx="15">
                  <c:v>5859</c:v>
                </c:pt>
                <c:pt idx="16">
                  <c:v>3624</c:v>
                </c:pt>
                <c:pt idx="17">
                  <c:v>345</c:v>
                </c:pt>
                <c:pt idx="18">
                  <c:v>9285</c:v>
                </c:pt>
                <c:pt idx="19">
                  <c:v>5112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[zemoto dataset (Recovered).xlsx]Sheet2!PivotTable1</c:name>
    <c:fmtId val="4"/>
  </c:pivotSource>
  <c:chart>
    <c:title>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5.7778944298629335E-2"/>
          <c:y val="0.35279463400408284"/>
          <c:w val="0.68441139302031695"/>
          <c:h val="0.29403044619422575"/>
        </c:manualLayout>
      </c:layout>
      <c:barChart>
        <c:barDir val="col"/>
        <c:grouping val="clustered"/>
        <c:varyColors val="0"/>
        <c:ser>
          <c:idx val="0"/>
          <c:order val="0"/>
          <c:tx>
            <c:strRef>
              <c:f>Sheet2!$B$3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Sheet2!$A$4:$A$25</c:f>
              <c:strCache>
                <c:ptCount val="21"/>
                <c:pt idx="0">
                  <c:v>2.6/5</c:v>
                </c:pt>
                <c:pt idx="1">
                  <c:v>2.8/5</c:v>
                </c:pt>
                <c:pt idx="2">
                  <c:v>2.9/5</c:v>
                </c:pt>
                <c:pt idx="3">
                  <c:v>3.0/5</c:v>
                </c:pt>
                <c:pt idx="4">
                  <c:v>3.1/5</c:v>
                </c:pt>
                <c:pt idx="5">
                  <c:v>3.2/5</c:v>
                </c:pt>
                <c:pt idx="6">
                  <c:v>3.3/5</c:v>
                </c:pt>
                <c:pt idx="7">
                  <c:v>3.4/5</c:v>
                </c:pt>
                <c:pt idx="8">
                  <c:v>3.5/5</c:v>
                </c:pt>
                <c:pt idx="9">
                  <c:v>3.6/5</c:v>
                </c:pt>
                <c:pt idx="10">
                  <c:v>3.7/5</c:v>
                </c:pt>
                <c:pt idx="11">
                  <c:v>3.8 /5</c:v>
                </c:pt>
                <c:pt idx="12">
                  <c:v>3.8/5</c:v>
                </c:pt>
                <c:pt idx="13">
                  <c:v>3.9/5</c:v>
                </c:pt>
                <c:pt idx="14">
                  <c:v>4.0/5</c:v>
                </c:pt>
                <c:pt idx="15">
                  <c:v>4.1/5</c:v>
                </c:pt>
                <c:pt idx="16">
                  <c:v>4.2/5</c:v>
                </c:pt>
                <c:pt idx="17">
                  <c:v>4.3/5</c:v>
                </c:pt>
                <c:pt idx="18">
                  <c:v>4.4/5</c:v>
                </c:pt>
                <c:pt idx="19">
                  <c:v>4.6/5</c:v>
                </c:pt>
                <c:pt idx="20">
                  <c:v>(blank)</c:v>
                </c:pt>
              </c:strCache>
            </c:strRef>
          </c:cat>
          <c:val>
            <c:numRef>
              <c:f>Sheet2!$B$4:$B$25</c:f>
              <c:numCache>
                <c:formatCode>General</c:formatCode>
                <c:ptCount val="21"/>
                <c:pt idx="0">
                  <c:v>1</c:v>
                </c:pt>
                <c:pt idx="1">
                  <c:v>2</c:v>
                </c:pt>
                <c:pt idx="2">
                  <c:v>7</c:v>
                </c:pt>
                <c:pt idx="3">
                  <c:v>2</c:v>
                </c:pt>
                <c:pt idx="4">
                  <c:v>7</c:v>
                </c:pt>
                <c:pt idx="5">
                  <c:v>7</c:v>
                </c:pt>
                <c:pt idx="6">
                  <c:v>14</c:v>
                </c:pt>
                <c:pt idx="7">
                  <c:v>12</c:v>
                </c:pt>
                <c:pt idx="8">
                  <c:v>6</c:v>
                </c:pt>
                <c:pt idx="9">
                  <c:v>11</c:v>
                </c:pt>
                <c:pt idx="10">
                  <c:v>15</c:v>
                </c:pt>
                <c:pt idx="11">
                  <c:v>1</c:v>
                </c:pt>
                <c:pt idx="12">
                  <c:v>19</c:v>
                </c:pt>
                <c:pt idx="13">
                  <c:v>10</c:v>
                </c:pt>
                <c:pt idx="14">
                  <c:v>10</c:v>
                </c:pt>
                <c:pt idx="15">
                  <c:v>11</c:v>
                </c:pt>
                <c:pt idx="16">
                  <c:v>8</c:v>
                </c:pt>
                <c:pt idx="17">
                  <c:v>1</c:v>
                </c:pt>
                <c:pt idx="18">
                  <c:v>2</c:v>
                </c:pt>
                <c:pt idx="19">
                  <c:v>2</c:v>
                </c:pt>
              </c:numCache>
            </c:numRef>
          </c:val>
        </c:ser>
        <c:dLbls>
          <c:dLblPos val="inEnd"/>
          <c:showLegendKey val="0"/>
          <c:showVal val="1"/>
          <c:showCatName val="0"/>
          <c:showSerName val="0"/>
          <c:showPercent val="0"/>
          <c:showBubbleSize val="0"/>
        </c:dLbls>
        <c:gapWidth val="41"/>
        <c:axId val="-2023396880"/>
        <c:axId val="-2023400688"/>
      </c:barChart>
      <c:catAx>
        <c:axId val="-2023396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23400688"/>
        <c:crosses val="autoZero"/>
        <c:auto val="1"/>
        <c:lblAlgn val="ctr"/>
        <c:lblOffset val="100"/>
        <c:noMultiLvlLbl val="0"/>
      </c:catAx>
      <c:valAx>
        <c:axId val="-2023400688"/>
        <c:scaling>
          <c:orientation val="minMax"/>
        </c:scaling>
        <c:delete val="1"/>
        <c:axPos val="l"/>
        <c:numFmt formatCode="General" sourceLinked="1"/>
        <c:majorTickMark val="none"/>
        <c:minorTickMark val="none"/>
        <c:tickLblPos val="nextTo"/>
        <c:crossAx val="-20233968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[zemoto dataset (Recovered).xlsx]Sheet3!PivotTable2</c:name>
    <c:fmtId val="5"/>
  </c:pivotSource>
  <c:chart>
    <c:title>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2"/>
        <c:spPr>
          <a:ln w="38100" cap="rnd">
            <a:solidFill>
              <a:schemeClr val="accent1"/>
            </a:solidFill>
            <a:round/>
          </a:ln>
          <a:effectLst/>
        </c:spPr>
        <c:marker>
          <c:symbol val="circle"/>
          <c:size val="8"/>
          <c:spPr>
            <a:solidFill>
              <a:schemeClr val="accent1"/>
            </a:solidFill>
            <a:ln>
              <a:noFill/>
            </a:ln>
            <a:effectLst/>
          </c:spPr>
        </c:marker>
      </c:pivotFmt>
    </c:pivotFmts>
    <c:plotArea>
      <c:layout/>
      <c:lineChart>
        <c:grouping val="standard"/>
        <c:varyColors val="0"/>
        <c:ser>
          <c:idx val="0"/>
          <c:order val="0"/>
          <c:tx>
            <c:strRef>
              <c:f>Sheet3!$B$3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trendline>
            <c:spPr>
              <a:ln w="19050" cap="rnd">
                <a:solidFill>
                  <a:schemeClr val="accent1"/>
                </a:solidFill>
                <a:round/>
              </a:ln>
              <a:effectLst/>
            </c:spPr>
            <c:trendlineType val="linear"/>
            <c:dispRSqr val="0"/>
            <c:dispEq val="0"/>
          </c:trendline>
          <c:cat>
            <c:strRef>
              <c:f>Sheet3!$A$4:$A$6</c:f>
              <c:strCache>
                <c:ptCount val="2"/>
                <c:pt idx="0">
                  <c:v>ofline</c:v>
                </c:pt>
                <c:pt idx="1">
                  <c:v>online</c:v>
                </c:pt>
              </c:strCache>
            </c:strRef>
          </c:cat>
          <c:val>
            <c:numRef>
              <c:f>Sheet3!$B$4:$B$6</c:f>
              <c:numCache>
                <c:formatCode>General</c:formatCode>
                <c:ptCount val="2"/>
                <c:pt idx="0">
                  <c:v>90</c:v>
                </c:pt>
                <c:pt idx="1">
                  <c:v>58</c:v>
                </c:pt>
              </c:numCache>
            </c:numRef>
          </c:val>
          <c:smooth val="0"/>
        </c:ser>
        <c:dLbls>
          <c:showLegendKey val="0"/>
          <c:showVal val="0"/>
          <c:showCatName val="0"/>
          <c:showSerName val="0"/>
          <c:showPercent val="0"/>
          <c:showBubbleSize val="0"/>
        </c:dLbls>
        <c:marker val="1"/>
        <c:smooth val="0"/>
        <c:axId val="-88618816"/>
        <c:axId val="-88618272"/>
      </c:lineChart>
      <c:catAx>
        <c:axId val="-8861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8618272"/>
        <c:crosses val="autoZero"/>
        <c:auto val="1"/>
        <c:lblAlgn val="ctr"/>
        <c:lblOffset val="100"/>
        <c:noMultiLvlLbl val="0"/>
      </c:catAx>
      <c:valAx>
        <c:axId val="-8861827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188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hart" Target="../charts/chart4.xml"/><Relationship Id="rId1" Type="http://schemas.openxmlformats.org/officeDocument/2006/relationships/image" Target="../media/image1.emf"/><Relationship Id="rId6" Type="http://schemas.openxmlformats.org/officeDocument/2006/relationships/chart" Target="../charts/chart6.xml"/><Relationship Id="rId5" Type="http://schemas.openxmlformats.org/officeDocument/2006/relationships/image" Target="../media/image3.emf"/><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266700</xdr:colOff>
      <xdr:row>2</xdr:row>
      <xdr:rowOff>4762</xdr:rowOff>
    </xdr:from>
    <xdr:to>
      <xdr:col>7</xdr:col>
      <xdr:colOff>57150</xdr:colOff>
      <xdr:row>16</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171450</xdr:colOff>
      <xdr:row>2</xdr:row>
      <xdr:rowOff>28575</xdr:rowOff>
    </xdr:from>
    <xdr:to>
      <xdr:col>14</xdr:col>
      <xdr:colOff>171450</xdr:colOff>
      <xdr:row>15</xdr:row>
      <xdr:rowOff>76200</xdr:rowOff>
    </xdr:to>
    <mc:AlternateContent xmlns:mc="http://schemas.openxmlformats.org/markup-compatibility/2006">
      <mc:Choice xmlns:a14="http://schemas.microsoft.com/office/drawing/2010/main" Requires="a14">
        <xdr:graphicFrame macro="">
          <xdr:nvGraphicFramePr>
            <xdr:cNvPr id="3" name="name"/>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9210675" y="409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466725</xdr:colOff>
      <xdr:row>1</xdr:row>
      <xdr:rowOff>161925</xdr:rowOff>
    </xdr:from>
    <xdr:to>
      <xdr:col>10</xdr:col>
      <xdr:colOff>466725</xdr:colOff>
      <xdr:row>15</xdr:row>
      <xdr:rowOff>19050</xdr:rowOff>
    </xdr:to>
    <mc:AlternateContent xmlns:mc="http://schemas.openxmlformats.org/markup-compatibility/2006">
      <mc:Choice xmlns:a14="http://schemas.microsoft.com/office/drawing/2010/main" Requires="a14">
        <xdr:graphicFrame macro="">
          <xdr:nvGraphicFramePr>
            <xdr:cNvPr id="4" name="rate 1"/>
            <xdr:cNvGraphicFramePr/>
          </xdr:nvGraphicFramePr>
          <xdr:xfrm>
            <a:off x="0" y="0"/>
            <a:ext cx="0" cy="0"/>
          </xdr:xfrm>
          <a:graphic>
            <a:graphicData uri="http://schemas.microsoft.com/office/drawing/2010/slicer">
              <sle:slicer xmlns:sle="http://schemas.microsoft.com/office/drawing/2010/slicer" name="rate 1"/>
            </a:graphicData>
          </a:graphic>
        </xdr:graphicFrame>
      </mc:Choice>
      <mc:Fallback>
        <xdr:sp macro="" textlink="">
          <xdr:nvSpPr>
            <xdr:cNvPr id="0" name=""/>
            <xdr:cNvSpPr>
              <a:spLocks noTextEdit="1"/>
            </xdr:cNvSpPr>
          </xdr:nvSpPr>
          <xdr:spPr>
            <a:xfrm>
              <a:off x="7067550" y="352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552450</xdr:colOff>
      <xdr:row>4</xdr:row>
      <xdr:rowOff>33337</xdr:rowOff>
    </xdr:from>
    <xdr:to>
      <xdr:col>11</xdr:col>
      <xdr:colOff>247650</xdr:colOff>
      <xdr:row>18</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57150</xdr:colOff>
      <xdr:row>2</xdr:row>
      <xdr:rowOff>142875</xdr:rowOff>
    </xdr:from>
    <xdr:to>
      <xdr:col>19</xdr:col>
      <xdr:colOff>57150</xdr:colOff>
      <xdr:row>16</xdr:row>
      <xdr:rowOff>0</xdr:rowOff>
    </xdr:to>
    <mc:AlternateContent xmlns:mc="http://schemas.openxmlformats.org/markup-compatibility/2006">
      <mc:Choice xmlns:a14="http://schemas.microsoft.com/office/drawing/2010/main" Requires="a14">
        <xdr:graphicFrame macro="">
          <xdr:nvGraphicFramePr>
            <xdr:cNvPr id="3" name="rate"/>
            <xdr:cNvGraphicFramePr/>
          </xdr:nvGraphicFramePr>
          <xdr:xfrm>
            <a:off x="0" y="0"/>
            <a:ext cx="0" cy="0"/>
          </xdr:xfrm>
          <a:graphic>
            <a:graphicData uri="http://schemas.microsoft.com/office/drawing/2010/slicer">
              <sle:slicer xmlns:sle="http://schemas.microsoft.com/office/drawing/2010/slicer" name="rate"/>
            </a:graphicData>
          </a:graphic>
        </xdr:graphicFrame>
      </mc:Choice>
      <mc:Fallback>
        <xdr:sp macro="" textlink="">
          <xdr:nvSpPr>
            <xdr:cNvPr id="0" name=""/>
            <xdr:cNvSpPr>
              <a:spLocks noTextEdit="1"/>
            </xdr:cNvSpPr>
          </xdr:nvSpPr>
          <xdr:spPr>
            <a:xfrm>
              <a:off x="10296525" y="523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409575</xdr:colOff>
      <xdr:row>2</xdr:row>
      <xdr:rowOff>104775</xdr:rowOff>
    </xdr:from>
    <xdr:to>
      <xdr:col>15</xdr:col>
      <xdr:colOff>409575</xdr:colOff>
      <xdr:row>15</xdr:row>
      <xdr:rowOff>152400</xdr:rowOff>
    </xdr:to>
    <mc:AlternateContent xmlns:mc="http://schemas.openxmlformats.org/markup-compatibility/2006">
      <mc:Choice xmlns:a14="http://schemas.microsoft.com/office/drawing/2010/main" Requires="a14">
        <xdr:graphicFrame macro="">
          <xdr:nvGraphicFramePr>
            <xdr:cNvPr id="4" name="votes"/>
            <xdr:cNvGraphicFramePr/>
          </xdr:nvGraphicFramePr>
          <xdr:xfrm>
            <a:off x="0" y="0"/>
            <a:ext cx="0" cy="0"/>
          </xdr:xfrm>
          <a:graphic>
            <a:graphicData uri="http://schemas.microsoft.com/office/drawing/2010/slicer">
              <sle:slicer xmlns:sle="http://schemas.microsoft.com/office/drawing/2010/slicer" name="votes"/>
            </a:graphicData>
          </a:graphic>
        </xdr:graphicFrame>
      </mc:Choice>
      <mc:Fallback>
        <xdr:sp macro="" textlink="">
          <xdr:nvSpPr>
            <xdr:cNvPr id="0" name=""/>
            <xdr:cNvSpPr>
              <a:spLocks noTextEdit="1"/>
            </xdr:cNvSpPr>
          </xdr:nvSpPr>
          <xdr:spPr>
            <a:xfrm>
              <a:off x="8210550" y="485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600075</xdr:colOff>
      <xdr:row>4</xdr:row>
      <xdr:rowOff>33337</xdr:rowOff>
    </xdr:from>
    <xdr:to>
      <xdr:col>10</xdr:col>
      <xdr:colOff>295275</xdr:colOff>
      <xdr:row>18</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514350</xdr:colOff>
      <xdr:row>1</xdr:row>
      <xdr:rowOff>76200</xdr:rowOff>
    </xdr:from>
    <xdr:to>
      <xdr:col>18</xdr:col>
      <xdr:colOff>514350</xdr:colOff>
      <xdr:row>14</xdr:row>
      <xdr:rowOff>123825</xdr:rowOff>
    </xdr:to>
    <mc:AlternateContent xmlns:mc="http://schemas.openxmlformats.org/markup-compatibility/2006">
      <mc:Choice xmlns:a14="http://schemas.microsoft.com/office/drawing/2010/main" Requires="a14">
        <xdr:graphicFrame macro="">
          <xdr:nvGraphicFramePr>
            <xdr:cNvPr id="3" name="New online orders"/>
            <xdr:cNvGraphicFramePr/>
          </xdr:nvGraphicFramePr>
          <xdr:xfrm>
            <a:off x="0" y="0"/>
            <a:ext cx="0" cy="0"/>
          </xdr:xfrm>
          <a:graphic>
            <a:graphicData uri="http://schemas.microsoft.com/office/drawing/2010/slicer">
              <sle:slicer xmlns:sle="http://schemas.microsoft.com/office/drawing/2010/slicer" name="New online orders"/>
            </a:graphicData>
          </a:graphic>
        </xdr:graphicFrame>
      </mc:Choice>
      <mc:Fallback>
        <xdr:sp macro="" textlink="">
          <xdr:nvSpPr>
            <xdr:cNvPr id="0" name=""/>
            <xdr:cNvSpPr>
              <a:spLocks noTextEdit="1"/>
            </xdr:cNvSpPr>
          </xdr:nvSpPr>
          <xdr:spPr>
            <a:xfrm>
              <a:off x="10706100" y="266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533400</xdr:colOff>
      <xdr:row>0</xdr:row>
      <xdr:rowOff>133350</xdr:rowOff>
    </xdr:from>
    <xdr:to>
      <xdr:col>15</xdr:col>
      <xdr:colOff>533400</xdr:colOff>
      <xdr:row>13</xdr:row>
      <xdr:rowOff>180975</xdr:rowOff>
    </xdr:to>
    <mc:AlternateContent xmlns:mc="http://schemas.openxmlformats.org/markup-compatibility/2006">
      <mc:Choice xmlns:a14="http://schemas.microsoft.com/office/drawing/2010/main" Requires="a14">
        <xdr:graphicFrame macro="">
          <xdr:nvGraphicFramePr>
            <xdr:cNvPr id="4" name="online_order"/>
            <xdr:cNvGraphicFramePr/>
          </xdr:nvGraphicFramePr>
          <xdr:xfrm>
            <a:off x="0" y="0"/>
            <a:ext cx="0" cy="0"/>
          </xdr:xfrm>
          <a:graphic>
            <a:graphicData uri="http://schemas.microsoft.com/office/drawing/2010/slicer">
              <sle:slicer xmlns:sle="http://schemas.microsoft.com/office/drawing/2010/slicer" name="online_order"/>
            </a:graphicData>
          </a:graphic>
        </xdr:graphicFrame>
      </mc:Choice>
      <mc:Fallback>
        <xdr:sp macro="" textlink="">
          <xdr:nvSpPr>
            <xdr:cNvPr id="0" name=""/>
            <xdr:cNvSpPr>
              <a:spLocks noTextEdit="1"/>
            </xdr:cNvSpPr>
          </xdr:nvSpPr>
          <xdr:spPr>
            <a:xfrm>
              <a:off x="8896350" y="133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28575</xdr:colOff>
      <xdr:row>0</xdr:row>
      <xdr:rowOff>123825</xdr:rowOff>
    </xdr:from>
    <xdr:to>
      <xdr:col>20</xdr:col>
      <xdr:colOff>161925</xdr:colOff>
      <xdr:row>21</xdr:row>
      <xdr:rowOff>28575</xdr:rowOff>
    </xdr:to>
    <xdr:sp macro="" textlink="">
      <xdr:nvSpPr>
        <xdr:cNvPr id="2" name="Rectangle 1"/>
        <xdr:cNvSpPr/>
      </xdr:nvSpPr>
      <xdr:spPr>
        <a:xfrm>
          <a:off x="28575" y="123825"/>
          <a:ext cx="12325350" cy="390525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114300</xdr:colOff>
      <xdr:row>0</xdr:row>
      <xdr:rowOff>161926</xdr:rowOff>
    </xdr:from>
    <xdr:to>
      <xdr:col>11</xdr:col>
      <xdr:colOff>28575</xdr:colOff>
      <xdr:row>3</xdr:row>
      <xdr:rowOff>28576</xdr:rowOff>
    </xdr:to>
    <xdr:sp macro="" textlink="">
      <xdr:nvSpPr>
        <xdr:cNvPr id="3" name="TextBox 2"/>
        <xdr:cNvSpPr txBox="1"/>
      </xdr:nvSpPr>
      <xdr:spPr>
        <a:xfrm>
          <a:off x="4381500" y="161926"/>
          <a:ext cx="2352675" cy="438150"/>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FF0000"/>
              </a:solidFill>
              <a:latin typeface="Algerian" panose="04020705040A02060702" pitchFamily="82" charset="0"/>
            </a:rPr>
            <a:t>Zemoto Report</a:t>
          </a:r>
        </a:p>
      </xdr:txBody>
    </xdr:sp>
    <xdr:clientData/>
  </xdr:twoCellAnchor>
  <xdr:twoCellAnchor editAs="oneCell">
    <xdr:from>
      <xdr:col>0</xdr:col>
      <xdr:colOff>66676</xdr:colOff>
      <xdr:row>0</xdr:row>
      <xdr:rowOff>161925</xdr:rowOff>
    </xdr:from>
    <xdr:to>
      <xdr:col>2</xdr:col>
      <xdr:colOff>133350</xdr:colOff>
      <xdr:row>21</xdr:row>
      <xdr:rowOff>0</xdr:rowOff>
    </xdr:to>
    <xdr:pic>
      <xdr:nvPicPr>
        <xdr:cNvPr id="6"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6" y="161925"/>
          <a:ext cx="1285874" cy="383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390525</xdr:colOff>
      <xdr:row>0</xdr:row>
      <xdr:rowOff>180975</xdr:rowOff>
    </xdr:from>
    <xdr:to>
      <xdr:col>6</xdr:col>
      <xdr:colOff>485775</xdr:colOff>
      <xdr:row>9</xdr:row>
      <xdr:rowOff>19050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428625</xdr:colOff>
      <xdr:row>9</xdr:row>
      <xdr:rowOff>123825</xdr:rowOff>
    </xdr:from>
    <xdr:to>
      <xdr:col>4</xdr:col>
      <xdr:colOff>400050</xdr:colOff>
      <xdr:row>20</xdr:row>
      <xdr:rowOff>123825</xdr:rowOff>
    </xdr:to>
    <mc:AlternateContent xmlns:mc="http://schemas.openxmlformats.org/markup-compatibility/2006">
      <mc:Choice xmlns:a14="http://schemas.microsoft.com/office/drawing/2010/main" Requires="a14">
        <xdr:graphicFrame macro="">
          <xdr:nvGraphicFramePr>
            <xdr:cNvPr id="10" name="votes 1"/>
            <xdr:cNvGraphicFramePr/>
          </xdr:nvGraphicFramePr>
          <xdr:xfrm>
            <a:off x="0" y="0"/>
            <a:ext cx="0" cy="0"/>
          </xdr:xfrm>
          <a:graphic>
            <a:graphicData uri="http://schemas.microsoft.com/office/drawing/2010/slicer">
              <sle:slicer xmlns:sle="http://schemas.microsoft.com/office/drawing/2010/slicer" name="votes 1"/>
            </a:graphicData>
          </a:graphic>
        </xdr:graphicFrame>
      </mc:Choice>
      <mc:Fallback>
        <xdr:sp macro="" textlink="">
          <xdr:nvSpPr>
            <xdr:cNvPr id="0" name=""/>
            <xdr:cNvSpPr>
              <a:spLocks noTextEdit="1"/>
            </xdr:cNvSpPr>
          </xdr:nvSpPr>
          <xdr:spPr>
            <a:xfrm>
              <a:off x="1647825" y="1838325"/>
              <a:ext cx="1190625"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542924</xdr:colOff>
      <xdr:row>9</xdr:row>
      <xdr:rowOff>133350</xdr:rowOff>
    </xdr:from>
    <xdr:to>
      <xdr:col>6</xdr:col>
      <xdr:colOff>457199</xdr:colOff>
      <xdr:row>20</xdr:row>
      <xdr:rowOff>104775</xdr:rowOff>
    </xdr:to>
    <mc:AlternateContent xmlns:mc="http://schemas.openxmlformats.org/markup-compatibility/2006">
      <mc:Choice xmlns:a14="http://schemas.microsoft.com/office/drawing/2010/main" Requires="a14">
        <xdr:graphicFrame macro="">
          <xdr:nvGraphicFramePr>
            <xdr:cNvPr id="12" name="rate 2"/>
            <xdr:cNvGraphicFramePr/>
          </xdr:nvGraphicFramePr>
          <xdr:xfrm>
            <a:off x="0" y="0"/>
            <a:ext cx="0" cy="0"/>
          </xdr:xfrm>
          <a:graphic>
            <a:graphicData uri="http://schemas.microsoft.com/office/drawing/2010/slicer">
              <sle:slicer xmlns:sle="http://schemas.microsoft.com/office/drawing/2010/slicer" name="rate 2"/>
            </a:graphicData>
          </a:graphic>
        </xdr:graphicFrame>
      </mc:Choice>
      <mc:Fallback>
        <xdr:sp macro="" textlink="">
          <xdr:nvSpPr>
            <xdr:cNvPr id="0" name=""/>
            <xdr:cNvSpPr>
              <a:spLocks noTextEdit="1"/>
            </xdr:cNvSpPr>
          </xdr:nvSpPr>
          <xdr:spPr>
            <a:xfrm>
              <a:off x="2981324" y="1847850"/>
              <a:ext cx="1133475" cy="2066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66675</xdr:colOff>
      <xdr:row>0</xdr:row>
      <xdr:rowOff>190499</xdr:rowOff>
    </xdr:from>
    <xdr:to>
      <xdr:col>20</xdr:col>
      <xdr:colOff>85725</xdr:colOff>
      <xdr:row>21</xdr:row>
      <xdr:rowOff>9524</xdr:rowOff>
    </xdr:to>
    <xdr:pic>
      <xdr:nvPicPr>
        <xdr:cNvPr id="14" name="Picture 1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29875" y="190499"/>
          <a:ext cx="1847850" cy="381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238125</xdr:colOff>
      <xdr:row>1</xdr:row>
      <xdr:rowOff>57149</xdr:rowOff>
    </xdr:from>
    <xdr:to>
      <xdr:col>16</xdr:col>
      <xdr:colOff>581025</xdr:colOff>
      <xdr:row>12</xdr:row>
      <xdr:rowOff>104774</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542924</xdr:colOff>
      <xdr:row>13</xdr:row>
      <xdr:rowOff>19050</xdr:rowOff>
    </xdr:from>
    <xdr:to>
      <xdr:col>14</xdr:col>
      <xdr:colOff>476249</xdr:colOff>
      <xdr:row>20</xdr:row>
      <xdr:rowOff>180975</xdr:rowOff>
    </xdr:to>
    <mc:AlternateContent xmlns:mc="http://schemas.openxmlformats.org/markup-compatibility/2006">
      <mc:Choice xmlns:a14="http://schemas.microsoft.com/office/drawing/2010/main" Requires="a14">
        <xdr:graphicFrame macro="">
          <xdr:nvGraphicFramePr>
            <xdr:cNvPr id="18" name="rate 3"/>
            <xdr:cNvGraphicFramePr/>
          </xdr:nvGraphicFramePr>
          <xdr:xfrm>
            <a:off x="0" y="0"/>
            <a:ext cx="0" cy="0"/>
          </xdr:xfrm>
          <a:graphic>
            <a:graphicData uri="http://schemas.microsoft.com/office/drawing/2010/slicer">
              <sle:slicer xmlns:sle="http://schemas.microsoft.com/office/drawing/2010/slicer" name="rate 3"/>
            </a:graphicData>
          </a:graphic>
        </xdr:graphicFrame>
      </mc:Choice>
      <mc:Fallback>
        <xdr:sp macro="" textlink="">
          <xdr:nvSpPr>
            <xdr:cNvPr id="0" name=""/>
            <xdr:cNvSpPr>
              <a:spLocks noTextEdit="1"/>
            </xdr:cNvSpPr>
          </xdr:nvSpPr>
          <xdr:spPr>
            <a:xfrm>
              <a:off x="7858124" y="2495550"/>
              <a:ext cx="1152525"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571501</xdr:colOff>
      <xdr:row>13</xdr:row>
      <xdr:rowOff>47625</xdr:rowOff>
    </xdr:from>
    <xdr:to>
      <xdr:col>16</xdr:col>
      <xdr:colOff>571500</xdr:colOff>
      <xdr:row>20</xdr:row>
      <xdr:rowOff>161925</xdr:rowOff>
    </xdr:to>
    <mc:AlternateContent xmlns:mc="http://schemas.openxmlformats.org/markup-compatibility/2006">
      <mc:Choice xmlns:a14="http://schemas.microsoft.com/office/drawing/2010/main" Requires="a14">
        <xdr:graphicFrame macro="">
          <xdr:nvGraphicFramePr>
            <xdr:cNvPr id="20" name="name 1"/>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9105901" y="2524125"/>
              <a:ext cx="1219199"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581026</xdr:colOff>
      <xdr:row>3</xdr:row>
      <xdr:rowOff>66675</xdr:rowOff>
    </xdr:from>
    <xdr:to>
      <xdr:col>12</xdr:col>
      <xdr:colOff>28576</xdr:colOff>
      <xdr:row>7</xdr:row>
      <xdr:rowOff>9525</xdr:rowOff>
    </xdr:to>
    <xdr:pic>
      <xdr:nvPicPr>
        <xdr:cNvPr id="22" name="Picture 21"/>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848226" y="638175"/>
          <a:ext cx="249555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571500</xdr:colOff>
      <xdr:row>7</xdr:row>
      <xdr:rowOff>66675</xdr:rowOff>
    </xdr:from>
    <xdr:to>
      <xdr:col>12</xdr:col>
      <xdr:colOff>171450</xdr:colOff>
      <xdr:row>15</xdr:row>
      <xdr:rowOff>66675</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219076</xdr:colOff>
      <xdr:row>15</xdr:row>
      <xdr:rowOff>95251</xdr:rowOff>
    </xdr:from>
    <xdr:to>
      <xdr:col>8</xdr:col>
      <xdr:colOff>590550</xdr:colOff>
      <xdr:row>20</xdr:row>
      <xdr:rowOff>180975</xdr:rowOff>
    </xdr:to>
    <mc:AlternateContent xmlns:mc="http://schemas.openxmlformats.org/markup-compatibility/2006">
      <mc:Choice xmlns:a14="http://schemas.microsoft.com/office/drawing/2010/main" Requires="a14">
        <xdr:graphicFrame macro="">
          <xdr:nvGraphicFramePr>
            <xdr:cNvPr id="26" name="online_order 1"/>
            <xdr:cNvGraphicFramePr/>
          </xdr:nvGraphicFramePr>
          <xdr:xfrm>
            <a:off x="0" y="0"/>
            <a:ext cx="0" cy="0"/>
          </xdr:xfrm>
          <a:graphic>
            <a:graphicData uri="http://schemas.microsoft.com/office/drawing/2010/slicer">
              <sle:slicer xmlns:sle="http://schemas.microsoft.com/office/drawing/2010/slicer" name="online_order 1"/>
            </a:graphicData>
          </a:graphic>
        </xdr:graphicFrame>
      </mc:Choice>
      <mc:Fallback>
        <xdr:sp macro="" textlink="">
          <xdr:nvSpPr>
            <xdr:cNvPr id="0" name=""/>
            <xdr:cNvSpPr>
              <a:spLocks noTextEdit="1"/>
            </xdr:cNvSpPr>
          </xdr:nvSpPr>
          <xdr:spPr>
            <a:xfrm>
              <a:off x="4486276" y="2952751"/>
              <a:ext cx="981074" cy="1038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352426</xdr:colOff>
      <xdr:row>15</xdr:row>
      <xdr:rowOff>104776</xdr:rowOff>
    </xdr:from>
    <xdr:to>
      <xdr:col>12</xdr:col>
      <xdr:colOff>9525</xdr:colOff>
      <xdr:row>20</xdr:row>
      <xdr:rowOff>161925</xdr:rowOff>
    </xdr:to>
    <mc:AlternateContent xmlns:mc="http://schemas.openxmlformats.org/markup-compatibility/2006">
      <mc:Choice xmlns:a14="http://schemas.microsoft.com/office/drawing/2010/main" Requires="a14">
        <xdr:graphicFrame macro="">
          <xdr:nvGraphicFramePr>
            <xdr:cNvPr id="28" name="New online orders 1"/>
            <xdr:cNvGraphicFramePr/>
          </xdr:nvGraphicFramePr>
          <xdr:xfrm>
            <a:off x="0" y="0"/>
            <a:ext cx="0" cy="0"/>
          </xdr:xfrm>
          <a:graphic>
            <a:graphicData uri="http://schemas.microsoft.com/office/drawing/2010/slicer">
              <sle:slicer xmlns:sle="http://schemas.microsoft.com/office/drawing/2010/slicer" name="New online orders 1"/>
            </a:graphicData>
          </a:graphic>
        </xdr:graphicFrame>
      </mc:Choice>
      <mc:Fallback>
        <xdr:sp macro="" textlink="">
          <xdr:nvSpPr>
            <xdr:cNvPr id="0" name=""/>
            <xdr:cNvSpPr>
              <a:spLocks noTextEdit="1"/>
            </xdr:cNvSpPr>
          </xdr:nvSpPr>
          <xdr:spPr>
            <a:xfrm>
              <a:off x="6448426" y="2962276"/>
              <a:ext cx="876299" cy="1009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zemoto%20dataset.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6212.277497916664" createdVersion="5" refreshedVersion="5" minRefreshableVersion="3" recordCount="149">
  <cacheSource type="worksheet">
    <worksheetSource ref="A1:K1048576" sheet="zemoto dataset" r:id="rId2"/>
  </cacheSource>
  <cacheFields count="7">
    <cacheField name="name" numFmtId="0">
      <sharedItems containsBlank="1" count="146">
        <s v="Jalsa"/>
        <s v="Spice Elephant"/>
        <s v="San Churro Cafe"/>
        <s v="Addhuri Udupi Bhojana"/>
        <s v="Grand Village"/>
        <s v="Timepass Dinner"/>
        <s v="Rosewood International Hotel - Bar &amp; Restaurant"/>
        <s v="Onesta"/>
        <s v="Penthouse Cafe"/>
        <s v="Smacznego"/>
        <s v="Village CafÃ©"/>
        <s v="Cafe Shuffle"/>
        <s v="The Coffee Shack"/>
        <s v="Caf-Eleven"/>
        <s v="Cafe Vivacity"/>
        <s v="Catch-up-ino"/>
        <s v="Kirthi's Biryani"/>
        <s v="T3H Cafe"/>
        <s v="360 Atoms Restaurant And Cafe"/>
        <s v="The Vintage Cafe"/>
        <s v="Woodee Pizza"/>
        <s v="Cafe Coffee Day"/>
        <s v="My Tea House"/>
        <s v="Hide Out Cafe"/>
        <s v="CAFE NOVA"/>
        <s v="Coffee Tindi"/>
        <s v="Sea Green Cafe"/>
        <s v="Cuppa"/>
        <s v="Srinathji's Cafe"/>
        <s v="Redberrys"/>
        <s v="Foodiction"/>
        <s v="Sweet Truth"/>
        <s v="Ovenstory Pizza"/>
        <s v="Faasos"/>
        <s v="Behrouz Biryani"/>
        <s v="Fast And Fresh"/>
        <s v="Szechuan Dragon"/>
        <s v="Empire Restaurant"/>
        <s v="Maruthi Davangere Benne Dosa"/>
        <s v="Chaatimes"/>
        <s v="Havyaka Mess"/>
        <s v="McDonald's"/>
        <s v="Domino's Pizza"/>
        <s v="Hotboxit"/>
        <s v="Kitchen Garden"/>
        <s v="Recipe"/>
        <s v="Beijing Bites"/>
        <s v="Tasty Bytes"/>
        <s v="Petoo"/>
        <s v="Shree Cool Point"/>
        <s v="Corner House Ice Cream"/>
        <s v="Biryanis And More"/>
        <s v="Roving Feast"/>
        <s v="FreshMenu"/>
        <s v="Banashankari Donne Biriyani"/>
        <s v="Wamama"/>
        <s v="Five Star Chicken"/>
        <s v="XO Belgian Waffle"/>
        <s v="Peppy Peppers"/>
        <s v="Goa 0 Km"/>
        <s v="Chinese Kitchen"/>
        <s v="Jeet Restaurant"/>
        <s v="Cake of the Day"/>
        <s v="Kabab Magic"/>
        <s v="Namma Brahmin's Idli"/>
        <s v="Gustoes Beer House"/>
        <s v="Sugar Rush"/>
        <s v="Burger King"/>
        <s v="The Good Bowl"/>
        <s v="The Biryani Cafe"/>
        <s v="Spicy Tandoor"/>
        <s v="LSD Cafe"/>
        <s v="Rolls On Wheels"/>
        <s v="Om Sri Vinayaka Chats"/>
        <s v="Sri Guru Kottureshwara Davangere Benne Dosa"/>
        <s v="Devanna Dum Biriyani Centre"/>
        <s v="Kolbeh"/>
        <s v="Upahar Sagar"/>
        <s v="Kadalu Sea Food Restaurant"/>
        <s v="Frozen Bottle"/>
        <s v="Parimala Sweets"/>
        <s v="Vaishali Deluxe"/>
        <s v="Chill Out"/>
        <s v="The Big O Bakes"/>
        <s v="Meghana Foods"/>
        <s v="Krishna Sagar"/>
        <s v="Dessert Rose"/>
        <s v="Chickpet Donne Biryani House"/>
        <s v="Me And My Cake"/>
        <s v="Sunsadm"/>
        <s v="Annapooraneshwari Mess"/>
        <s v="Thanco's Natural Ice Creams"/>
        <s v="Nandhini Deluxe"/>
        <s v="Vi Ra's Bar and Restaurant"/>
        <s v="Kaggis"/>
        <s v="Ayda Persian Kitchen"/>
        <s v="Chatar Patar"/>
        <s v="Polar Bear"/>
        <s v="Kidambi's Kitchen"/>
        <s v="Mane Thindi"/>
        <s v="Kotian Karavali Restaurant"/>
        <s v="Floured-Baked With Love"/>
        <s v="Cakes &amp; Slices"/>
        <s v="Spice 9"/>
        <s v="Coffee Shopee"/>
        <s v="Naveen Kabab &amp; Biriyani Mane"/>
        <s v="Katriguppe Donne Biryani"/>
        <s v="Hari Super Sandwich"/>
        <s v="Atithi Point Ande Ka Funda"/>
        <s v="Just Bake"/>
        <s v="Dharwad Line Bazaar Mishra Pedha"/>
        <s v="Cake Bite"/>
        <s v="Aarush's Food Plaza"/>
        <s v="Wood Stove"/>
        <s v="Kulfi &amp; More"/>
        <s v="Kannadigas Karavali"/>
        <s v="K27 - The Pub"/>
        <s v="Bengaluru Coffee House"/>
        <s v="New Mangalore Lunch Home"/>
        <s v="Coffee Bytes"/>
        <s v="Parjanya Chat Zone"/>
        <s v="Kwality Wall's Swirl's Happiness Station"/>
        <s v="Soms Kitchen &amp; Bakes"/>
        <s v="Banashankari Nati Style"/>
        <s v="Ruchi Maayaka"/>
        <s v="Mohitesh Hut Roll"/>
        <s v="Sri Basaveshwar Jolada Rotti Oota"/>
        <s v="Roll Magic Fast Food"/>
        <s v="Foodlieious Multi Cuisine"/>
        <s v="Thanishka Nati And Karavali Style"/>
        <s v="Swathi Cool Point"/>
        <s v="Kaumudis Juoice"/>
        <s v="Amma - Manae"/>
        <s v="Sri Sai Tiffannies"/>
        <s v="Hotel Andhra Speices"/>
        <s v="Sri Murari Family Restaurant"/>
        <s v="Aramane Donne Biriyani"/>
        <s v="Darkolates"/>
        <s v="Swaada Healthy Kitchen"/>
        <s v="Gawdaru Mane Beriyani"/>
        <s v="Melting Melodies"/>
        <s v="New Indraprasta"/>
        <s v="Anna Kuteera"/>
        <s v="Darbar"/>
        <s v="Vijayalakshmi"/>
        <m/>
      </sharedItems>
    </cacheField>
    <cacheField name="online_order" numFmtId="0">
      <sharedItems containsBlank="1"/>
    </cacheField>
    <cacheField name="book_table" numFmtId="0">
      <sharedItems containsBlank="1"/>
    </cacheField>
    <cacheField name="rate" numFmtId="0">
      <sharedItems containsBlank="1" count="21">
        <s v="4.1/5"/>
        <s v="3.8/5"/>
        <s v="3.7/5"/>
        <s v="3.6/5"/>
        <s v="4.6/5"/>
        <s v="4.0/5"/>
        <s v="4.2/5"/>
        <s v="3.9/5"/>
        <s v="3.1/5"/>
        <s v="3.0/5"/>
        <s v="3.2/5"/>
        <s v="3.3/5"/>
        <s v="2.8/5"/>
        <s v="4.4/5"/>
        <s v="4.3/5"/>
        <s v="2.9/5"/>
        <s v="3.5/5"/>
        <s v="2.6/5"/>
        <s v="3.8 /5"/>
        <s v="3.4/5"/>
        <m/>
      </sharedItems>
    </cacheField>
    <cacheField name="votes" numFmtId="0">
      <sharedItems containsString="0" containsBlank="1" containsNumber="1" containsInteger="1" minValue="0" maxValue="4884"/>
    </cacheField>
    <cacheField name="approx_cost(for two people)" numFmtId="0">
      <sharedItems containsString="0" containsBlank="1" containsNumber="1" containsInteger="1" minValue="100" maxValue="950"/>
    </cacheField>
    <cacheField name="listed_in(type)" numFmtId="0">
      <sharedItems containsBlank="1" count="5">
        <s v="Buffet"/>
        <s v="Cafes"/>
        <s v="other"/>
        <s v="Dining"/>
        <m/>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214.831054861112" createdVersion="5" refreshedVersion="5" minRefreshableVersion="3" recordCount="148">
  <cacheSource type="worksheet">
    <worksheetSource name="Table1"/>
  </cacheSource>
  <cacheFields count="11">
    <cacheField name="name" numFmtId="0">
      <sharedItems/>
    </cacheField>
    <cacheField name="Restruent name Length" numFmtId="0">
      <sharedItems containsSemiMixedTypes="0" containsString="0" containsNumber="1" containsInteger="1" minValue="5" maxValue="47"/>
    </cacheField>
    <cacheField name="New online orders" numFmtId="0">
      <sharedItems count="2">
        <s v="online"/>
        <s v="ofline"/>
      </sharedItems>
    </cacheField>
    <cacheField name="online_order" numFmtId="0">
      <sharedItems count="2">
        <s v="Yes"/>
        <s v="No"/>
      </sharedItems>
    </cacheField>
    <cacheField name="booking afflibel" numFmtId="0">
      <sharedItems/>
    </cacheField>
    <cacheField name="book_table" numFmtId="0">
      <sharedItems/>
    </cacheField>
    <cacheField name="rate" numFmtId="0">
      <sharedItems count="20">
        <s v="4.1/5"/>
        <s v="3.8/5"/>
        <s v="3.7/5"/>
        <s v="3.6/5"/>
        <s v="4.6/5"/>
        <s v="4.0/5"/>
        <s v="4.2/5"/>
        <s v="3.9/5"/>
        <s v="3.1/5"/>
        <s v="3.0/5"/>
        <s v="3.2/5"/>
        <s v="3.3/5"/>
        <s v="2.8/5"/>
        <s v="4.4/5"/>
        <s v="4.3/5"/>
        <s v="2.9/5"/>
        <s v="3.5/5"/>
        <s v="2.6/5"/>
        <s v="3.8 /5"/>
        <s v="3.4/5"/>
      </sharedItems>
    </cacheField>
    <cacheField name="votes" numFmtId="0">
      <sharedItems containsSemiMixedTypes="0" containsString="0" containsNumber="1" containsInteger="1" minValue="0" maxValue="4884" count="90">
        <n v="775"/>
        <n v="787"/>
        <n v="918"/>
        <n v="88"/>
        <n v="166"/>
        <n v="286"/>
        <n v="8"/>
        <n v="2556"/>
        <n v="324"/>
        <n v="504"/>
        <n v="402"/>
        <n v="150"/>
        <n v="164"/>
        <n v="424"/>
        <n v="90"/>
        <n v="133"/>
        <n v="144"/>
        <n v="93"/>
        <n v="13"/>
        <n v="62"/>
        <n v="180"/>
        <n v="28"/>
        <n v="31"/>
        <n v="11"/>
        <n v="75"/>
        <n v="4"/>
        <n v="23"/>
        <n v="148"/>
        <n v="219"/>
        <n v="506"/>
        <n v="35"/>
        <n v="172"/>
        <n v="415"/>
        <n v="230"/>
        <n v="91"/>
        <n v="1647"/>
        <n v="4884"/>
        <n v="17"/>
        <n v="540"/>
        <n v="36"/>
        <n v="244"/>
        <n v="804"/>
        <n v="679"/>
        <n v="245"/>
        <n v="21"/>
        <n v="345"/>
        <n v="618"/>
        <n v="1047"/>
        <n v="627"/>
        <n v="104"/>
        <n v="354"/>
        <n v="55"/>
        <n v="163"/>
        <n v="58"/>
        <n v="808"/>
        <n v="78"/>
        <n v="1720"/>
        <n v="34"/>
        <n v="868"/>
        <n v="39"/>
        <n v="71"/>
        <n v="6"/>
        <n v="520"/>
        <n v="0"/>
        <n v="84"/>
        <n v="299"/>
        <n v="558"/>
        <n v="22"/>
        <n v="153"/>
        <n v="146"/>
        <n v="14"/>
        <n v="42"/>
        <n v="66"/>
        <n v="4401"/>
        <n v="7"/>
        <n v="9"/>
        <n v="283"/>
        <n v="64"/>
        <n v="65"/>
        <n v="52"/>
        <n v="130"/>
        <n v="10"/>
        <n v="45"/>
        <n v="29"/>
        <n v="30"/>
        <n v="201"/>
        <n v="25"/>
        <n v="771"/>
        <n v="98"/>
        <n v="47"/>
      </sharedItems>
    </cacheField>
    <cacheField name="Reating vallue" numFmtId="0">
      <sharedItems/>
    </cacheField>
    <cacheField name="approx_cost(for two people)" numFmtId="0">
      <sharedItems containsSemiMixedTypes="0" containsString="0" containsNumber="1" containsInteger="1" minValue="100" maxValue="950"/>
    </cacheField>
    <cacheField name="listed_in(typ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9">
  <r>
    <x v="0"/>
    <s v="Yes"/>
    <s v="Yes"/>
    <x v="0"/>
    <n v="775"/>
    <n v="800"/>
    <x v="0"/>
  </r>
  <r>
    <x v="1"/>
    <s v="Yes"/>
    <s v="No"/>
    <x v="0"/>
    <n v="787"/>
    <n v="800"/>
    <x v="0"/>
  </r>
  <r>
    <x v="2"/>
    <s v="Yes"/>
    <s v="No"/>
    <x v="1"/>
    <n v="918"/>
    <n v="800"/>
    <x v="0"/>
  </r>
  <r>
    <x v="3"/>
    <s v="No"/>
    <s v="No"/>
    <x v="2"/>
    <n v="88"/>
    <n v="300"/>
    <x v="0"/>
  </r>
  <r>
    <x v="4"/>
    <s v="No"/>
    <s v="No"/>
    <x v="1"/>
    <n v="166"/>
    <n v="600"/>
    <x v="0"/>
  </r>
  <r>
    <x v="5"/>
    <s v="Yes"/>
    <s v="No"/>
    <x v="1"/>
    <n v="286"/>
    <n v="600"/>
    <x v="0"/>
  </r>
  <r>
    <x v="6"/>
    <s v="No"/>
    <s v="No"/>
    <x v="3"/>
    <n v="8"/>
    <n v="800"/>
    <x v="0"/>
  </r>
  <r>
    <x v="7"/>
    <s v="Yes"/>
    <s v="Yes"/>
    <x v="4"/>
    <n v="2556"/>
    <n v="600"/>
    <x v="1"/>
  </r>
  <r>
    <x v="8"/>
    <s v="Yes"/>
    <s v="No"/>
    <x v="5"/>
    <n v="324"/>
    <n v="700"/>
    <x v="2"/>
  </r>
  <r>
    <x v="9"/>
    <s v="Yes"/>
    <s v="No"/>
    <x v="6"/>
    <n v="504"/>
    <n v="550"/>
    <x v="1"/>
  </r>
  <r>
    <x v="10"/>
    <s v="Yes"/>
    <s v="No"/>
    <x v="0"/>
    <n v="402"/>
    <n v="500"/>
    <x v="1"/>
  </r>
  <r>
    <x v="11"/>
    <s v="Yes"/>
    <s v="Yes"/>
    <x v="6"/>
    <n v="150"/>
    <n v="600"/>
    <x v="1"/>
  </r>
  <r>
    <x v="12"/>
    <s v="Yes"/>
    <s v="Yes"/>
    <x v="6"/>
    <n v="164"/>
    <n v="500"/>
    <x v="1"/>
  </r>
  <r>
    <x v="13"/>
    <s v="No"/>
    <s v="No"/>
    <x v="5"/>
    <n v="424"/>
    <n v="450"/>
    <x v="1"/>
  </r>
  <r>
    <x v="2"/>
    <s v="Yes"/>
    <s v="No"/>
    <x v="1"/>
    <n v="918"/>
    <n v="800"/>
    <x v="1"/>
  </r>
  <r>
    <x v="14"/>
    <s v="Yes"/>
    <s v="No"/>
    <x v="1"/>
    <n v="90"/>
    <n v="650"/>
    <x v="1"/>
  </r>
  <r>
    <x v="15"/>
    <s v="Yes"/>
    <s v="No"/>
    <x v="7"/>
    <n v="133"/>
    <n v="800"/>
    <x v="1"/>
  </r>
  <r>
    <x v="16"/>
    <s v="Yes"/>
    <s v="No"/>
    <x v="1"/>
    <n v="144"/>
    <n v="700"/>
    <x v="1"/>
  </r>
  <r>
    <x v="17"/>
    <s v="No"/>
    <s v="No"/>
    <x v="7"/>
    <n v="93"/>
    <n v="300"/>
    <x v="1"/>
  </r>
  <r>
    <x v="18"/>
    <s v="Yes"/>
    <s v="No"/>
    <x v="8"/>
    <n v="13"/>
    <n v="400"/>
    <x v="1"/>
  </r>
  <r>
    <x v="19"/>
    <s v="Yes"/>
    <s v="No"/>
    <x v="9"/>
    <n v="62"/>
    <n v="400"/>
    <x v="1"/>
  </r>
  <r>
    <x v="20"/>
    <s v="Yes"/>
    <s v="No"/>
    <x v="2"/>
    <n v="180"/>
    <n v="500"/>
    <x v="1"/>
  </r>
  <r>
    <x v="21"/>
    <s v="No"/>
    <s v="No"/>
    <x v="3"/>
    <n v="28"/>
    <n v="900"/>
    <x v="1"/>
  </r>
  <r>
    <x v="22"/>
    <s v="Yes"/>
    <s v="No"/>
    <x v="3"/>
    <n v="62"/>
    <n v="600"/>
    <x v="1"/>
  </r>
  <r>
    <x v="23"/>
    <s v="No"/>
    <s v="No"/>
    <x v="2"/>
    <n v="31"/>
    <n v="300"/>
    <x v="1"/>
  </r>
  <r>
    <x v="24"/>
    <s v="No"/>
    <s v="No"/>
    <x v="10"/>
    <n v="11"/>
    <n v="600"/>
    <x v="1"/>
  </r>
  <r>
    <x v="25"/>
    <s v="Yes"/>
    <s v="No"/>
    <x v="1"/>
    <n v="75"/>
    <n v="200"/>
    <x v="1"/>
  </r>
  <r>
    <x v="26"/>
    <s v="No"/>
    <s v="No"/>
    <x v="11"/>
    <n v="4"/>
    <n v="500"/>
    <x v="1"/>
  </r>
  <r>
    <x v="27"/>
    <s v="No"/>
    <s v="No"/>
    <x v="11"/>
    <n v="23"/>
    <n v="550"/>
    <x v="1"/>
  </r>
  <r>
    <x v="28"/>
    <s v="No"/>
    <s v="No"/>
    <x v="1"/>
    <n v="148"/>
    <n v="550"/>
    <x v="1"/>
  </r>
  <r>
    <x v="29"/>
    <s v="Yes"/>
    <s v="No"/>
    <x v="5"/>
    <n v="219"/>
    <n v="600"/>
    <x v="1"/>
  </r>
  <r>
    <x v="30"/>
    <s v="Yes"/>
    <s v="No"/>
    <x v="12"/>
    <n v="506"/>
    <n v="500"/>
    <x v="2"/>
  </r>
  <r>
    <x v="31"/>
    <s v="Yes"/>
    <s v="No"/>
    <x v="7"/>
    <n v="35"/>
    <n v="500"/>
    <x v="3"/>
  </r>
  <r>
    <x v="32"/>
    <s v="Yes"/>
    <s v="No"/>
    <x v="7"/>
    <n v="172"/>
    <n v="750"/>
    <x v="3"/>
  </r>
  <r>
    <x v="33"/>
    <s v="Yes"/>
    <s v="No"/>
    <x v="6"/>
    <n v="415"/>
    <n v="500"/>
    <x v="2"/>
  </r>
  <r>
    <x v="34"/>
    <s v="Yes"/>
    <s v="No"/>
    <x v="7"/>
    <n v="230"/>
    <n v="650"/>
    <x v="3"/>
  </r>
  <r>
    <x v="35"/>
    <s v="Yes"/>
    <s v="No"/>
    <x v="12"/>
    <n v="91"/>
    <n v="400"/>
    <x v="3"/>
  </r>
  <r>
    <x v="36"/>
    <s v="Yes"/>
    <s v="No"/>
    <x v="6"/>
    <n v="1647"/>
    <n v="600"/>
    <x v="3"/>
  </r>
  <r>
    <x v="37"/>
    <s v="Yes"/>
    <s v="No"/>
    <x v="13"/>
    <n v="4884"/>
    <n v="750"/>
    <x v="2"/>
  </r>
  <r>
    <x v="38"/>
    <s v="Yes"/>
    <s v="No"/>
    <x v="5"/>
    <n v="17"/>
    <n v="150"/>
    <x v="3"/>
  </r>
  <r>
    <x v="39"/>
    <s v="Yes"/>
    <s v="No"/>
    <x v="1"/>
    <n v="133"/>
    <n v="200"/>
    <x v="3"/>
  </r>
  <r>
    <x v="40"/>
    <s v="No"/>
    <s v="No"/>
    <x v="7"/>
    <n v="28"/>
    <n v="300"/>
    <x v="3"/>
  </r>
  <r>
    <x v="41"/>
    <s v="Yes"/>
    <s v="No"/>
    <x v="7"/>
    <n v="286"/>
    <n v="500"/>
    <x v="3"/>
  </r>
  <r>
    <x v="42"/>
    <s v="Yes"/>
    <s v="No"/>
    <x v="7"/>
    <n v="540"/>
    <n v="800"/>
    <x v="3"/>
  </r>
  <r>
    <x v="7"/>
    <s v="Yes"/>
    <s v="Yes"/>
    <x v="4"/>
    <n v="2556"/>
    <n v="600"/>
    <x v="2"/>
  </r>
  <r>
    <x v="43"/>
    <s v="No"/>
    <s v="No"/>
    <x v="1"/>
    <n v="36"/>
    <n v="400"/>
    <x v="3"/>
  </r>
  <r>
    <x v="44"/>
    <s v="Yes"/>
    <s v="No"/>
    <x v="3"/>
    <n v="244"/>
    <n v="300"/>
    <x v="3"/>
  </r>
  <r>
    <x v="45"/>
    <s v="Yes"/>
    <s v="No"/>
    <x v="5"/>
    <n v="804"/>
    <n v="450"/>
    <x v="3"/>
  </r>
  <r>
    <x v="46"/>
    <s v="Yes"/>
    <s v="No"/>
    <x v="2"/>
    <n v="679"/>
    <n v="850"/>
    <x v="3"/>
  </r>
  <r>
    <x v="47"/>
    <s v="Yes"/>
    <s v="No"/>
    <x v="8"/>
    <n v="245"/>
    <n v="300"/>
    <x v="3"/>
  </r>
  <r>
    <x v="48"/>
    <s v="No"/>
    <s v="No"/>
    <x v="2"/>
    <n v="21"/>
    <n v="450"/>
    <x v="3"/>
  </r>
  <r>
    <x v="49"/>
    <s v="Yes"/>
    <s v="No"/>
    <x v="0"/>
    <n v="28"/>
    <n v="150"/>
    <x v="3"/>
  </r>
  <r>
    <x v="50"/>
    <s v="No"/>
    <s v="No"/>
    <x v="14"/>
    <n v="345"/>
    <n v="400"/>
    <x v="3"/>
  </r>
  <r>
    <x v="51"/>
    <s v="Yes"/>
    <s v="No"/>
    <x v="5"/>
    <n v="618"/>
    <n v="750"/>
    <x v="3"/>
  </r>
  <r>
    <x v="52"/>
    <s v="No"/>
    <s v="No"/>
    <x v="5"/>
    <n v="1047"/>
    <n v="450"/>
    <x v="3"/>
  </r>
  <r>
    <x v="53"/>
    <s v="Yes"/>
    <s v="No"/>
    <x v="7"/>
    <n v="627"/>
    <n v="450"/>
    <x v="3"/>
  </r>
  <r>
    <x v="54"/>
    <s v="Yes"/>
    <s v="No"/>
    <x v="1"/>
    <n v="104"/>
    <n v="300"/>
    <x v="3"/>
  </r>
  <r>
    <x v="55"/>
    <s v="Yes"/>
    <s v="Yes"/>
    <x v="6"/>
    <n v="354"/>
    <n v="800"/>
    <x v="2"/>
  </r>
  <r>
    <x v="56"/>
    <s v="No"/>
    <s v="No"/>
    <x v="3"/>
    <n v="55"/>
    <n v="200"/>
    <x v="3"/>
  </r>
  <r>
    <x v="57"/>
    <s v="Yes"/>
    <s v="No"/>
    <x v="2"/>
    <n v="17"/>
    <n v="400"/>
    <x v="3"/>
  </r>
  <r>
    <x v="58"/>
    <s v="No"/>
    <s v="No"/>
    <x v="6"/>
    <n v="244"/>
    <n v="800"/>
    <x v="2"/>
  </r>
  <r>
    <x v="59"/>
    <s v="Yes"/>
    <s v="Yes"/>
    <x v="3"/>
    <n v="163"/>
    <n v="800"/>
    <x v="3"/>
  </r>
  <r>
    <x v="60"/>
    <s v="Yes"/>
    <s v="No"/>
    <x v="1"/>
    <n v="58"/>
    <n v="150"/>
    <x v="3"/>
  </r>
  <r>
    <x v="61"/>
    <s v="No"/>
    <s v="Yes"/>
    <x v="5"/>
    <n v="808"/>
    <n v="850"/>
    <x v="3"/>
  </r>
  <r>
    <x v="62"/>
    <s v="No"/>
    <s v="No"/>
    <x v="2"/>
    <n v="78"/>
    <n v="150"/>
    <x v="3"/>
  </r>
  <r>
    <x v="63"/>
    <s v="Yes"/>
    <s v="No"/>
    <x v="0"/>
    <n v="1720"/>
    <n v="400"/>
    <x v="3"/>
  </r>
  <r>
    <x v="64"/>
    <s v="Yes"/>
    <s v="No"/>
    <x v="3"/>
    <n v="34"/>
    <n v="100"/>
    <x v="3"/>
  </r>
  <r>
    <x v="65"/>
    <s v="No"/>
    <s v="No"/>
    <x v="0"/>
    <n v="868"/>
    <n v="700"/>
    <x v="3"/>
  </r>
  <r>
    <x v="66"/>
    <s v="No"/>
    <s v="No"/>
    <x v="1"/>
    <n v="39"/>
    <n v="300"/>
    <x v="3"/>
  </r>
  <r>
    <x v="67"/>
    <s v="Yes"/>
    <s v="No"/>
    <x v="10"/>
    <n v="71"/>
    <n v="600"/>
    <x v="3"/>
  </r>
  <r>
    <x v="68"/>
    <s v="Yes"/>
    <s v="No"/>
    <x v="3"/>
    <n v="6"/>
    <n v="500"/>
    <x v="3"/>
  </r>
  <r>
    <x v="69"/>
    <s v="No"/>
    <s v="No"/>
    <x v="0"/>
    <n v="520"/>
    <n v="300"/>
    <x v="3"/>
  </r>
  <r>
    <x v="70"/>
    <s v="No"/>
    <s v="No"/>
    <x v="0"/>
    <n v="0"/>
    <n v="150"/>
    <x v="3"/>
  </r>
  <r>
    <x v="71"/>
    <s v="No"/>
    <s v="No"/>
    <x v="15"/>
    <n v="84"/>
    <n v="700"/>
    <x v="2"/>
  </r>
  <r>
    <x v="72"/>
    <s v="No"/>
    <s v="No"/>
    <x v="3"/>
    <n v="299"/>
    <n v="300"/>
    <x v="3"/>
  </r>
  <r>
    <x v="73"/>
    <s v="No"/>
    <s v="No"/>
    <x v="3"/>
    <n v="0"/>
    <n v="500"/>
    <x v="3"/>
  </r>
  <r>
    <x v="74"/>
    <s v="Yes"/>
    <s v="No"/>
    <x v="0"/>
    <n v="558"/>
    <n v="150"/>
    <x v="3"/>
  </r>
  <r>
    <x v="75"/>
    <s v="Yes"/>
    <s v="No"/>
    <x v="3"/>
    <n v="28"/>
    <n v="300"/>
    <x v="3"/>
  </r>
  <r>
    <x v="76"/>
    <s v="No"/>
    <s v="No"/>
    <x v="2"/>
    <n v="22"/>
    <n v="500"/>
    <x v="3"/>
  </r>
  <r>
    <x v="77"/>
    <s v="No"/>
    <s v="No"/>
    <x v="1"/>
    <n v="39"/>
    <n v="350"/>
    <x v="3"/>
  </r>
  <r>
    <x v="78"/>
    <s v="Yes"/>
    <s v="No"/>
    <x v="1"/>
    <n v="153"/>
    <n v="500"/>
    <x v="3"/>
  </r>
  <r>
    <x v="79"/>
    <s v="Yes"/>
    <s v="No"/>
    <x v="6"/>
    <n v="146"/>
    <n v="400"/>
    <x v="3"/>
  </r>
  <r>
    <x v="80"/>
    <s v="No"/>
    <s v="No"/>
    <x v="16"/>
    <n v="14"/>
    <n v="200"/>
    <x v="3"/>
  </r>
  <r>
    <x v="81"/>
    <s v="No"/>
    <s v="No"/>
    <x v="1"/>
    <n v="42"/>
    <n v="700"/>
    <x v="3"/>
  </r>
  <r>
    <x v="82"/>
    <s v="No"/>
    <s v="No"/>
    <x v="1"/>
    <n v="0"/>
    <n v="100"/>
    <x v="3"/>
  </r>
  <r>
    <x v="83"/>
    <s v="No"/>
    <s v="No"/>
    <x v="5"/>
    <n v="66"/>
    <n v="300"/>
    <x v="3"/>
  </r>
  <r>
    <x v="84"/>
    <s v="Yes"/>
    <s v="No"/>
    <x v="13"/>
    <n v="4401"/>
    <n v="600"/>
    <x v="3"/>
  </r>
  <r>
    <x v="85"/>
    <s v="No"/>
    <s v="No"/>
    <x v="16"/>
    <n v="31"/>
    <n v="200"/>
    <x v="3"/>
  </r>
  <r>
    <x v="86"/>
    <s v="No"/>
    <s v="No"/>
    <x v="16"/>
    <n v="7"/>
    <n v="500"/>
    <x v="3"/>
  </r>
  <r>
    <x v="87"/>
    <s v="No"/>
    <s v="No"/>
    <x v="2"/>
    <n v="21"/>
    <n v="250"/>
    <x v="3"/>
  </r>
  <r>
    <x v="88"/>
    <s v="No"/>
    <s v="No"/>
    <x v="2"/>
    <n v="0"/>
    <n v="500"/>
    <x v="3"/>
  </r>
  <r>
    <x v="89"/>
    <s v="No"/>
    <s v="No"/>
    <x v="2"/>
    <n v="0"/>
    <n v="400"/>
    <x v="3"/>
  </r>
  <r>
    <x v="90"/>
    <s v="No"/>
    <s v="No"/>
    <x v="2"/>
    <n v="0"/>
    <n v="200"/>
    <x v="3"/>
  </r>
  <r>
    <x v="91"/>
    <s v="No"/>
    <s v="No"/>
    <x v="10"/>
    <n v="9"/>
    <n v="300"/>
    <x v="3"/>
  </r>
  <r>
    <x v="92"/>
    <s v="No"/>
    <s v="No"/>
    <x v="17"/>
    <n v="283"/>
    <n v="600"/>
    <x v="3"/>
  </r>
  <r>
    <x v="93"/>
    <s v="No"/>
    <s v="No"/>
    <x v="11"/>
    <n v="62"/>
    <n v="800"/>
    <x v="3"/>
  </r>
  <r>
    <x v="94"/>
    <s v="No"/>
    <s v="No"/>
    <x v="1"/>
    <n v="64"/>
    <n v="250"/>
    <x v="3"/>
  </r>
  <r>
    <x v="95"/>
    <s v="No"/>
    <s v="No"/>
    <x v="2"/>
    <n v="39"/>
    <n v="950"/>
    <x v="3"/>
  </r>
  <r>
    <x v="96"/>
    <s v="No"/>
    <s v="No"/>
    <x v="2"/>
    <n v="65"/>
    <n v="300"/>
    <x v="3"/>
  </r>
  <r>
    <x v="97"/>
    <s v="Yes"/>
    <s v="No"/>
    <x v="1"/>
    <n v="71"/>
    <n v="400"/>
    <x v="3"/>
  </r>
  <r>
    <x v="98"/>
    <s v="No"/>
    <s v="No"/>
    <x v="16"/>
    <n v="52"/>
    <n v="300"/>
    <x v="3"/>
  </r>
  <r>
    <x v="99"/>
    <s v="No"/>
    <s v="No"/>
    <x v="2"/>
    <n v="130"/>
    <n v="200"/>
    <x v="3"/>
  </r>
  <r>
    <x v="100"/>
    <s v="No"/>
    <s v="No"/>
    <x v="16"/>
    <n v="10"/>
    <n v="300"/>
    <x v="3"/>
  </r>
  <r>
    <x v="101"/>
    <s v="No"/>
    <s v="No"/>
    <x v="18"/>
    <n v="45"/>
    <n v="400"/>
    <x v="3"/>
  </r>
  <r>
    <x v="24"/>
    <s v="No"/>
    <s v="No"/>
    <x v="10"/>
    <n v="11"/>
    <n v="600"/>
    <x v="3"/>
  </r>
  <r>
    <x v="102"/>
    <s v="No"/>
    <s v="No"/>
    <x v="16"/>
    <n v="13"/>
    <n v="300"/>
    <x v="3"/>
  </r>
  <r>
    <x v="103"/>
    <s v="No"/>
    <s v="No"/>
    <x v="19"/>
    <n v="8"/>
    <n v="300"/>
    <x v="3"/>
  </r>
  <r>
    <x v="104"/>
    <s v="No"/>
    <s v="No"/>
    <x v="19"/>
    <n v="0"/>
    <n v="250"/>
    <x v="3"/>
  </r>
  <r>
    <x v="105"/>
    <s v="No"/>
    <s v="No"/>
    <x v="10"/>
    <n v="9"/>
    <n v="300"/>
    <x v="3"/>
  </r>
  <r>
    <x v="106"/>
    <s v="No"/>
    <s v="No"/>
    <x v="10"/>
    <n v="4"/>
    <n v="300"/>
    <x v="3"/>
  </r>
  <r>
    <x v="107"/>
    <s v="No"/>
    <s v="No"/>
    <x v="10"/>
    <n v="0"/>
    <n v="200"/>
    <x v="3"/>
  </r>
  <r>
    <x v="108"/>
    <s v="No"/>
    <s v="No"/>
    <x v="8"/>
    <n v="29"/>
    <n v="150"/>
    <x v="3"/>
  </r>
  <r>
    <x v="109"/>
    <s v="No"/>
    <s v="No"/>
    <x v="19"/>
    <n v="8"/>
    <n v="400"/>
    <x v="3"/>
  </r>
  <r>
    <x v="110"/>
    <s v="No"/>
    <s v="No"/>
    <x v="19"/>
    <n v="0"/>
    <n v="150"/>
    <x v="3"/>
  </r>
  <r>
    <x v="111"/>
    <s v="No"/>
    <s v="No"/>
    <x v="19"/>
    <n v="0"/>
    <n v="300"/>
    <x v="3"/>
  </r>
  <r>
    <x v="112"/>
    <s v="No"/>
    <s v="No"/>
    <x v="19"/>
    <n v="0"/>
    <n v="200"/>
    <x v="3"/>
  </r>
  <r>
    <x v="113"/>
    <s v="No"/>
    <s v="No"/>
    <x v="19"/>
    <n v="0"/>
    <n v="150"/>
    <x v="3"/>
  </r>
  <r>
    <x v="114"/>
    <s v="No"/>
    <s v="No"/>
    <x v="19"/>
    <n v="0"/>
    <n v="150"/>
    <x v="3"/>
  </r>
  <r>
    <x v="115"/>
    <s v="No"/>
    <s v="No"/>
    <x v="19"/>
    <n v="0"/>
    <n v="250"/>
    <x v="3"/>
  </r>
  <r>
    <x v="116"/>
    <s v="No"/>
    <s v="No"/>
    <x v="8"/>
    <n v="30"/>
    <n v="900"/>
    <x v="3"/>
  </r>
  <r>
    <x v="117"/>
    <s v="Yes"/>
    <s v="No"/>
    <x v="0"/>
    <n v="201"/>
    <n v="300"/>
    <x v="3"/>
  </r>
  <r>
    <x v="118"/>
    <s v="No"/>
    <s v="No"/>
    <x v="11"/>
    <n v="7"/>
    <n v="200"/>
    <x v="3"/>
  </r>
  <r>
    <x v="119"/>
    <s v="No"/>
    <s v="No"/>
    <x v="8"/>
    <n v="6"/>
    <n v="100"/>
    <x v="3"/>
  </r>
  <r>
    <x v="120"/>
    <s v="No"/>
    <s v="No"/>
    <x v="11"/>
    <n v="17"/>
    <n v="200"/>
    <x v="3"/>
  </r>
  <r>
    <x v="121"/>
    <s v="No"/>
    <s v="No"/>
    <x v="15"/>
    <n v="25"/>
    <n v="200"/>
    <x v="3"/>
  </r>
  <r>
    <x v="122"/>
    <s v="No"/>
    <s v="No"/>
    <x v="15"/>
    <n v="0"/>
    <n v="400"/>
    <x v="3"/>
  </r>
  <r>
    <x v="123"/>
    <s v="No"/>
    <s v="No"/>
    <x v="15"/>
    <n v="0"/>
    <n v="350"/>
    <x v="3"/>
  </r>
  <r>
    <x v="124"/>
    <s v="No"/>
    <s v="No"/>
    <x v="11"/>
    <n v="8"/>
    <n v="100"/>
    <x v="3"/>
  </r>
  <r>
    <x v="125"/>
    <s v="No"/>
    <s v="No"/>
    <x v="11"/>
    <n v="0"/>
    <n v="150"/>
    <x v="3"/>
  </r>
  <r>
    <x v="126"/>
    <s v="No"/>
    <s v="No"/>
    <x v="19"/>
    <n v="0"/>
    <n v="150"/>
    <x v="3"/>
  </r>
  <r>
    <x v="127"/>
    <s v="No"/>
    <s v="No"/>
    <x v="19"/>
    <n v="0"/>
    <n v="200"/>
    <x v="3"/>
  </r>
  <r>
    <x v="128"/>
    <s v="No"/>
    <s v="No"/>
    <x v="19"/>
    <n v="0"/>
    <n v="100"/>
    <x v="3"/>
  </r>
  <r>
    <x v="129"/>
    <s v="No"/>
    <s v="No"/>
    <x v="8"/>
    <n v="0"/>
    <n v="400"/>
    <x v="3"/>
  </r>
  <r>
    <x v="130"/>
    <s v="No"/>
    <s v="No"/>
    <x v="0"/>
    <n v="0"/>
    <n v="200"/>
    <x v="3"/>
  </r>
  <r>
    <x v="131"/>
    <s v="No"/>
    <s v="No"/>
    <x v="11"/>
    <n v="0"/>
    <n v="150"/>
    <x v="3"/>
  </r>
  <r>
    <x v="132"/>
    <s v="No"/>
    <s v="No"/>
    <x v="8"/>
    <n v="0"/>
    <n v="400"/>
    <x v="3"/>
  </r>
  <r>
    <x v="133"/>
    <s v="No"/>
    <s v="No"/>
    <x v="11"/>
    <n v="0"/>
    <n v="150"/>
    <x v="3"/>
  </r>
  <r>
    <x v="134"/>
    <s v="No"/>
    <s v="No"/>
    <x v="15"/>
    <n v="0"/>
    <n v="250"/>
    <x v="3"/>
  </r>
  <r>
    <x v="135"/>
    <s v="No"/>
    <s v="No"/>
    <x v="15"/>
    <n v="0"/>
    <n v="250"/>
    <x v="3"/>
  </r>
  <r>
    <x v="136"/>
    <s v="No"/>
    <s v="No"/>
    <x v="15"/>
    <n v="0"/>
    <n v="150"/>
    <x v="3"/>
  </r>
  <r>
    <x v="137"/>
    <s v="No"/>
    <s v="No"/>
    <x v="11"/>
    <n v="0"/>
    <n v="200"/>
    <x v="3"/>
  </r>
  <r>
    <x v="138"/>
    <s v="No"/>
    <s v="No"/>
    <x v="11"/>
    <n v="0"/>
    <n v="350"/>
    <x v="3"/>
  </r>
  <r>
    <x v="139"/>
    <s v="No"/>
    <s v="No"/>
    <x v="11"/>
    <n v="0"/>
    <n v="300"/>
    <x v="3"/>
  </r>
  <r>
    <x v="140"/>
    <s v="No"/>
    <s v="No"/>
    <x v="11"/>
    <n v="0"/>
    <n v="100"/>
    <x v="3"/>
  </r>
  <r>
    <x v="141"/>
    <s v="No"/>
    <s v="No"/>
    <x v="11"/>
    <n v="0"/>
    <n v="150"/>
    <x v="3"/>
  </r>
  <r>
    <x v="142"/>
    <s v="Yes"/>
    <s v="No"/>
    <x v="5"/>
    <n v="771"/>
    <n v="450"/>
    <x v="3"/>
  </r>
  <r>
    <x v="143"/>
    <s v="No"/>
    <s v="No"/>
    <x v="9"/>
    <n v="98"/>
    <n v="800"/>
    <x v="3"/>
  </r>
  <r>
    <x v="144"/>
    <s v="Yes"/>
    <s v="No"/>
    <x v="7"/>
    <n v="47"/>
    <n v="200"/>
    <x v="3"/>
  </r>
  <r>
    <x v="145"/>
    <m/>
    <m/>
    <x v="20"/>
    <m/>
    <m/>
    <x v="4"/>
  </r>
</pivotCacheRecords>
</file>

<file path=xl/pivotCache/pivotCacheRecords2.xml><?xml version="1.0" encoding="utf-8"?>
<pivotCacheRecords xmlns="http://schemas.openxmlformats.org/spreadsheetml/2006/main" xmlns:r="http://schemas.openxmlformats.org/officeDocument/2006/relationships" count="148">
  <r>
    <s v="Jalsa"/>
    <n v="5"/>
    <x v="0"/>
    <x v="0"/>
    <s v="Booking Avalibal"/>
    <s v="Yes"/>
    <x v="0"/>
    <x v="0"/>
    <s v="4.1/5-775"/>
    <n v="800"/>
    <s v="Buffet"/>
  </r>
  <r>
    <s v="Spice Elephant"/>
    <n v="14"/>
    <x v="0"/>
    <x v="0"/>
    <s v="Fals"/>
    <s v="No"/>
    <x v="0"/>
    <x v="1"/>
    <s v="4.1/5-787"/>
    <n v="800"/>
    <s v="Buffet"/>
  </r>
  <r>
    <s v="San Churro Cafe"/>
    <n v="15"/>
    <x v="0"/>
    <x v="0"/>
    <s v="Fals"/>
    <s v="No"/>
    <x v="1"/>
    <x v="2"/>
    <s v="3.8/5-918"/>
    <n v="800"/>
    <s v="Buffet"/>
  </r>
  <r>
    <s v="Addhuri Udupi Bhojana"/>
    <n v="21"/>
    <x v="1"/>
    <x v="1"/>
    <s v="Fals"/>
    <s v="No"/>
    <x v="2"/>
    <x v="3"/>
    <s v="3.7/5-88"/>
    <n v="300"/>
    <s v="Buffet"/>
  </r>
  <r>
    <s v="Grand Village"/>
    <n v="13"/>
    <x v="1"/>
    <x v="1"/>
    <s v="Fals"/>
    <s v="No"/>
    <x v="1"/>
    <x v="4"/>
    <s v="3.8/5-166"/>
    <n v="600"/>
    <s v="Buffet"/>
  </r>
  <r>
    <s v="Timepass Dinner"/>
    <n v="15"/>
    <x v="0"/>
    <x v="0"/>
    <s v="Fals"/>
    <s v="No"/>
    <x v="1"/>
    <x v="5"/>
    <s v="3.8/5-286"/>
    <n v="600"/>
    <s v="Buffet"/>
  </r>
  <r>
    <s v="Rosewood International Hotel - Bar &amp; Restaurant"/>
    <n v="47"/>
    <x v="1"/>
    <x v="1"/>
    <s v="Fals"/>
    <s v="No"/>
    <x v="3"/>
    <x v="6"/>
    <s v="3.6/5-8"/>
    <n v="800"/>
    <s v="Buffet"/>
  </r>
  <r>
    <s v="Onesta"/>
    <n v="6"/>
    <x v="0"/>
    <x v="0"/>
    <s v="Booking Avalibal"/>
    <s v="Yes"/>
    <x v="4"/>
    <x v="7"/>
    <s v="4.6/5-2556"/>
    <n v="600"/>
    <s v="Cafes"/>
  </r>
  <r>
    <s v="Penthouse Cafe"/>
    <n v="14"/>
    <x v="0"/>
    <x v="0"/>
    <s v="Fals"/>
    <s v="No"/>
    <x v="5"/>
    <x v="8"/>
    <s v="4.0/5-324"/>
    <n v="700"/>
    <s v="other"/>
  </r>
  <r>
    <s v="Smacznego"/>
    <n v="9"/>
    <x v="0"/>
    <x v="0"/>
    <s v="Fals"/>
    <s v="No"/>
    <x v="6"/>
    <x v="9"/>
    <s v="4.2/5-504"/>
    <n v="550"/>
    <s v="Cafes"/>
  </r>
  <r>
    <s v="Village CafÃ©"/>
    <n v="13"/>
    <x v="0"/>
    <x v="0"/>
    <s v="Fals"/>
    <s v="No"/>
    <x v="0"/>
    <x v="10"/>
    <s v="4.1/5-402"/>
    <n v="500"/>
    <s v="Cafes"/>
  </r>
  <r>
    <s v="Cafe Shuffle"/>
    <n v="12"/>
    <x v="0"/>
    <x v="0"/>
    <s v="Booking Avalibal"/>
    <s v="Yes"/>
    <x v="6"/>
    <x v="11"/>
    <s v="4.2/5-150"/>
    <n v="600"/>
    <s v="Cafes"/>
  </r>
  <r>
    <s v="The Coffee Shack"/>
    <n v="16"/>
    <x v="0"/>
    <x v="0"/>
    <s v="Booking Avalibal"/>
    <s v="Yes"/>
    <x v="6"/>
    <x v="12"/>
    <s v="4.2/5-164"/>
    <n v="500"/>
    <s v="Cafes"/>
  </r>
  <r>
    <s v="Caf-Eleven"/>
    <n v="10"/>
    <x v="1"/>
    <x v="1"/>
    <s v="Fals"/>
    <s v="No"/>
    <x v="5"/>
    <x v="13"/>
    <s v="4.0/5-424"/>
    <n v="450"/>
    <s v="Cafes"/>
  </r>
  <r>
    <s v="San Churro Cafe"/>
    <n v="15"/>
    <x v="0"/>
    <x v="0"/>
    <s v="Fals"/>
    <s v="No"/>
    <x v="1"/>
    <x v="2"/>
    <s v="3.8/5-918"/>
    <n v="800"/>
    <s v="Cafes"/>
  </r>
  <r>
    <s v="Cafe Vivacity"/>
    <n v="13"/>
    <x v="0"/>
    <x v="0"/>
    <s v="Fals"/>
    <s v="No"/>
    <x v="1"/>
    <x v="14"/>
    <s v="3.8/5-90"/>
    <n v="650"/>
    <s v="Cafes"/>
  </r>
  <r>
    <s v="Catch-up-ino"/>
    <n v="12"/>
    <x v="0"/>
    <x v="0"/>
    <s v="Fals"/>
    <s v="No"/>
    <x v="7"/>
    <x v="15"/>
    <s v="3.9/5-133"/>
    <n v="800"/>
    <s v="Cafes"/>
  </r>
  <r>
    <s v="Kirthi's Biryani"/>
    <n v="16"/>
    <x v="0"/>
    <x v="0"/>
    <s v="Fals"/>
    <s v="No"/>
    <x v="1"/>
    <x v="16"/>
    <s v="3.8/5-144"/>
    <n v="700"/>
    <s v="Cafes"/>
  </r>
  <r>
    <s v="T3H Cafe"/>
    <n v="8"/>
    <x v="1"/>
    <x v="1"/>
    <s v="Fals"/>
    <s v="No"/>
    <x v="7"/>
    <x v="17"/>
    <s v="3.9/5-93"/>
    <n v="300"/>
    <s v="Cafes"/>
  </r>
  <r>
    <s v="360 Atoms Restaurant And Cafe"/>
    <n v="29"/>
    <x v="0"/>
    <x v="0"/>
    <s v="Fals"/>
    <s v="No"/>
    <x v="8"/>
    <x v="18"/>
    <s v="3.1/5-13"/>
    <n v="400"/>
    <s v="Cafes"/>
  </r>
  <r>
    <s v="The Vintage Cafe"/>
    <n v="16"/>
    <x v="0"/>
    <x v="0"/>
    <s v="Fals"/>
    <s v="No"/>
    <x v="9"/>
    <x v="19"/>
    <s v="3.0/5-62"/>
    <n v="400"/>
    <s v="Cafes"/>
  </r>
  <r>
    <s v="Woodee Pizza"/>
    <n v="12"/>
    <x v="0"/>
    <x v="0"/>
    <s v="Fals"/>
    <s v="No"/>
    <x v="2"/>
    <x v="20"/>
    <s v="3.7/5-180"/>
    <n v="500"/>
    <s v="Cafes"/>
  </r>
  <r>
    <s v="Cafe Coffee Day"/>
    <n v="15"/>
    <x v="1"/>
    <x v="1"/>
    <s v="Fals"/>
    <s v="No"/>
    <x v="3"/>
    <x v="21"/>
    <s v="3.6/5-28"/>
    <n v="900"/>
    <s v="Cafes"/>
  </r>
  <r>
    <s v="My Tea House"/>
    <n v="12"/>
    <x v="0"/>
    <x v="0"/>
    <s v="Fals"/>
    <s v="No"/>
    <x v="3"/>
    <x v="19"/>
    <s v="3.6/5-62"/>
    <n v="600"/>
    <s v="Cafes"/>
  </r>
  <r>
    <s v="Hide Out Cafe"/>
    <n v="13"/>
    <x v="1"/>
    <x v="1"/>
    <s v="Fals"/>
    <s v="No"/>
    <x v="2"/>
    <x v="22"/>
    <s v="3.7/5-31"/>
    <n v="300"/>
    <s v="Cafes"/>
  </r>
  <r>
    <s v="CAFE NOVA"/>
    <n v="9"/>
    <x v="1"/>
    <x v="1"/>
    <s v="Fals"/>
    <s v="No"/>
    <x v="10"/>
    <x v="23"/>
    <s v="3.2/5-11"/>
    <n v="600"/>
    <s v="Cafes"/>
  </r>
  <r>
    <s v="Coffee Tindi"/>
    <n v="12"/>
    <x v="0"/>
    <x v="0"/>
    <s v="Fals"/>
    <s v="No"/>
    <x v="1"/>
    <x v="24"/>
    <s v="3.8/5-75"/>
    <n v="200"/>
    <s v="Cafes"/>
  </r>
  <r>
    <s v="Sea Green Cafe"/>
    <n v="14"/>
    <x v="1"/>
    <x v="1"/>
    <s v="Fals"/>
    <s v="No"/>
    <x v="11"/>
    <x v="25"/>
    <s v="3.3/5-4"/>
    <n v="500"/>
    <s v="Cafes"/>
  </r>
  <r>
    <s v="Cuppa"/>
    <n v="5"/>
    <x v="1"/>
    <x v="1"/>
    <s v="Fals"/>
    <s v="No"/>
    <x v="11"/>
    <x v="26"/>
    <s v="3.3/5-23"/>
    <n v="550"/>
    <s v="Cafes"/>
  </r>
  <r>
    <s v="Srinathji's Cafe"/>
    <n v="16"/>
    <x v="1"/>
    <x v="1"/>
    <s v="Fals"/>
    <s v="No"/>
    <x v="1"/>
    <x v="27"/>
    <s v="3.8/5-148"/>
    <n v="550"/>
    <s v="Cafes"/>
  </r>
  <r>
    <s v="Redberrys"/>
    <n v="9"/>
    <x v="0"/>
    <x v="0"/>
    <s v="Fals"/>
    <s v="No"/>
    <x v="5"/>
    <x v="28"/>
    <s v="4.0/5-219"/>
    <n v="600"/>
    <s v="Cafes"/>
  </r>
  <r>
    <s v="Foodiction"/>
    <n v="10"/>
    <x v="0"/>
    <x v="0"/>
    <s v="Fals"/>
    <s v="No"/>
    <x v="12"/>
    <x v="29"/>
    <s v="2.8/5-506"/>
    <n v="500"/>
    <s v="other"/>
  </r>
  <r>
    <s v="Sweet Truth"/>
    <n v="11"/>
    <x v="0"/>
    <x v="0"/>
    <s v="Fals"/>
    <s v="No"/>
    <x v="7"/>
    <x v="30"/>
    <s v="3.9/5-35"/>
    <n v="500"/>
    <s v="Dining"/>
  </r>
  <r>
    <s v="Ovenstory Pizza"/>
    <n v="15"/>
    <x v="0"/>
    <x v="0"/>
    <s v="Fals"/>
    <s v="No"/>
    <x v="7"/>
    <x v="31"/>
    <s v="3.9/5-172"/>
    <n v="750"/>
    <s v="Dining"/>
  </r>
  <r>
    <s v="Faasos"/>
    <n v="6"/>
    <x v="0"/>
    <x v="0"/>
    <s v="Fals"/>
    <s v="No"/>
    <x v="6"/>
    <x v="32"/>
    <s v="4.2/5-415"/>
    <n v="500"/>
    <s v="other"/>
  </r>
  <r>
    <s v="Behrouz Biryani"/>
    <n v="15"/>
    <x v="0"/>
    <x v="0"/>
    <s v="Fals"/>
    <s v="No"/>
    <x v="7"/>
    <x v="33"/>
    <s v="3.9/5-230"/>
    <n v="650"/>
    <s v="Dining"/>
  </r>
  <r>
    <s v="Fast And Fresh"/>
    <n v="14"/>
    <x v="0"/>
    <x v="0"/>
    <s v="Fals"/>
    <s v="No"/>
    <x v="12"/>
    <x v="34"/>
    <s v="2.8/5-91"/>
    <n v="400"/>
    <s v="Dining"/>
  </r>
  <r>
    <s v="Szechuan Dragon"/>
    <n v="15"/>
    <x v="0"/>
    <x v="0"/>
    <s v="Fals"/>
    <s v="No"/>
    <x v="6"/>
    <x v="35"/>
    <s v="4.2/5-1647"/>
    <n v="600"/>
    <s v="Dining"/>
  </r>
  <r>
    <s v="Empire Restaurant"/>
    <n v="17"/>
    <x v="0"/>
    <x v="0"/>
    <s v="Fals"/>
    <s v="No"/>
    <x v="13"/>
    <x v="36"/>
    <s v="4.4/5-4884"/>
    <n v="750"/>
    <s v="other"/>
  </r>
  <r>
    <s v="Maruthi Davangere Benne Dosa"/>
    <n v="28"/>
    <x v="0"/>
    <x v="0"/>
    <s v="Fals"/>
    <s v="No"/>
    <x v="5"/>
    <x v="37"/>
    <s v="4.0/5-17"/>
    <n v="150"/>
    <s v="Dining"/>
  </r>
  <r>
    <s v="Chaatimes"/>
    <n v="9"/>
    <x v="0"/>
    <x v="0"/>
    <s v="Fals"/>
    <s v="No"/>
    <x v="1"/>
    <x v="15"/>
    <s v="3.8/5-133"/>
    <n v="200"/>
    <s v="Dining"/>
  </r>
  <r>
    <s v="Havyaka Mess"/>
    <n v="12"/>
    <x v="1"/>
    <x v="1"/>
    <s v="Fals"/>
    <s v="No"/>
    <x v="7"/>
    <x v="21"/>
    <s v="3.9/5-28"/>
    <n v="300"/>
    <s v="Dining"/>
  </r>
  <r>
    <s v="McDonald's"/>
    <n v="10"/>
    <x v="0"/>
    <x v="0"/>
    <s v="Fals"/>
    <s v="No"/>
    <x v="7"/>
    <x v="5"/>
    <s v="3.9/5-286"/>
    <n v="500"/>
    <s v="Dining"/>
  </r>
  <r>
    <s v="Domino's Pizza"/>
    <n v="14"/>
    <x v="0"/>
    <x v="0"/>
    <s v="Fals"/>
    <s v="No"/>
    <x v="7"/>
    <x v="38"/>
    <s v="3.9/5-540"/>
    <n v="800"/>
    <s v="Dining"/>
  </r>
  <r>
    <s v="Onesta"/>
    <n v="6"/>
    <x v="0"/>
    <x v="0"/>
    <s v="Booking Avalibal"/>
    <s v="Yes"/>
    <x v="4"/>
    <x v="7"/>
    <s v="4.6/5-2556"/>
    <n v="600"/>
    <s v="other"/>
  </r>
  <r>
    <s v="Hotboxit"/>
    <n v="8"/>
    <x v="1"/>
    <x v="1"/>
    <s v="Fals"/>
    <s v="No"/>
    <x v="1"/>
    <x v="39"/>
    <s v="3.8/5-36"/>
    <n v="400"/>
    <s v="Dining"/>
  </r>
  <r>
    <s v="Kitchen Garden"/>
    <n v="14"/>
    <x v="0"/>
    <x v="0"/>
    <s v="Fals"/>
    <s v="No"/>
    <x v="3"/>
    <x v="40"/>
    <s v="3.6/5-244"/>
    <n v="300"/>
    <s v="Dining"/>
  </r>
  <r>
    <s v="Recipe"/>
    <n v="6"/>
    <x v="0"/>
    <x v="0"/>
    <s v="Fals"/>
    <s v="No"/>
    <x v="5"/>
    <x v="41"/>
    <s v="4.0/5-804"/>
    <n v="450"/>
    <s v="Dining"/>
  </r>
  <r>
    <s v="Beijing Bites"/>
    <n v="13"/>
    <x v="0"/>
    <x v="0"/>
    <s v="Fals"/>
    <s v="No"/>
    <x v="2"/>
    <x v="42"/>
    <s v="3.7/5-679"/>
    <n v="850"/>
    <s v="Dining"/>
  </r>
  <r>
    <s v="Tasty Bytes"/>
    <n v="11"/>
    <x v="0"/>
    <x v="0"/>
    <s v="Fals"/>
    <s v="No"/>
    <x v="8"/>
    <x v="43"/>
    <s v="3.1/5-245"/>
    <n v="300"/>
    <s v="Dining"/>
  </r>
  <r>
    <s v="Petoo"/>
    <n v="5"/>
    <x v="1"/>
    <x v="1"/>
    <s v="Fals"/>
    <s v="No"/>
    <x v="2"/>
    <x v="44"/>
    <s v="3.7/5-21"/>
    <n v="450"/>
    <s v="Dining"/>
  </r>
  <r>
    <s v="Shree Cool Point"/>
    <n v="16"/>
    <x v="0"/>
    <x v="0"/>
    <s v="Fals"/>
    <s v="No"/>
    <x v="0"/>
    <x v="21"/>
    <s v="4.1/5-28"/>
    <n v="150"/>
    <s v="Dining"/>
  </r>
  <r>
    <s v="Corner House Ice Cream"/>
    <n v="22"/>
    <x v="1"/>
    <x v="1"/>
    <s v="Fals"/>
    <s v="No"/>
    <x v="14"/>
    <x v="45"/>
    <s v="4.3/5-345"/>
    <n v="400"/>
    <s v="Dining"/>
  </r>
  <r>
    <s v="Biryanis And More"/>
    <n v="17"/>
    <x v="0"/>
    <x v="0"/>
    <s v="Fals"/>
    <s v="No"/>
    <x v="5"/>
    <x v="46"/>
    <s v="4.0/5-618"/>
    <n v="750"/>
    <s v="Dining"/>
  </r>
  <r>
    <s v="Roving Feast"/>
    <n v="12"/>
    <x v="1"/>
    <x v="1"/>
    <s v="Fals"/>
    <s v="No"/>
    <x v="5"/>
    <x v="47"/>
    <s v="4.0/5-1047"/>
    <n v="450"/>
    <s v="Dining"/>
  </r>
  <r>
    <s v="FreshMenu"/>
    <n v="9"/>
    <x v="0"/>
    <x v="0"/>
    <s v="Fals"/>
    <s v="No"/>
    <x v="7"/>
    <x v="48"/>
    <s v="3.9/5-627"/>
    <n v="450"/>
    <s v="Dining"/>
  </r>
  <r>
    <s v="Banashankari Donne Biriyani"/>
    <n v="27"/>
    <x v="0"/>
    <x v="0"/>
    <s v="Fals"/>
    <s v="No"/>
    <x v="1"/>
    <x v="49"/>
    <s v="3.8/5-104"/>
    <n v="300"/>
    <s v="Dining"/>
  </r>
  <r>
    <s v="Wamama"/>
    <n v="6"/>
    <x v="0"/>
    <x v="0"/>
    <s v="Booking Avalibal"/>
    <s v="Yes"/>
    <x v="6"/>
    <x v="50"/>
    <s v="4.2/5-354"/>
    <n v="800"/>
    <s v="other"/>
  </r>
  <r>
    <s v="Five Star Chicken"/>
    <n v="17"/>
    <x v="1"/>
    <x v="1"/>
    <s v="Fals"/>
    <s v="No"/>
    <x v="3"/>
    <x v="51"/>
    <s v="3.6/5-55"/>
    <n v="200"/>
    <s v="Dining"/>
  </r>
  <r>
    <s v="XO Belgian Waffle"/>
    <n v="17"/>
    <x v="0"/>
    <x v="0"/>
    <s v="Fals"/>
    <s v="No"/>
    <x v="2"/>
    <x v="37"/>
    <s v="3.7/5-17"/>
    <n v="400"/>
    <s v="Dining"/>
  </r>
  <r>
    <s v="Peppy Peppers"/>
    <n v="13"/>
    <x v="1"/>
    <x v="1"/>
    <s v="Fals"/>
    <s v="No"/>
    <x v="6"/>
    <x v="40"/>
    <s v="4.2/5-244"/>
    <n v="800"/>
    <s v="other"/>
  </r>
  <r>
    <s v="Goa 0 Km"/>
    <n v="8"/>
    <x v="0"/>
    <x v="0"/>
    <s v="Booking Avalibal"/>
    <s v="Yes"/>
    <x v="3"/>
    <x v="52"/>
    <s v="3.6/5-163"/>
    <n v="800"/>
    <s v="Dining"/>
  </r>
  <r>
    <s v="Chinese Kitchen"/>
    <n v="15"/>
    <x v="0"/>
    <x v="0"/>
    <s v="Fals"/>
    <s v="No"/>
    <x v="1"/>
    <x v="53"/>
    <s v="3.8/5-58"/>
    <n v="150"/>
    <s v="Dining"/>
  </r>
  <r>
    <s v="Jeet Restaurant"/>
    <n v="15"/>
    <x v="1"/>
    <x v="1"/>
    <s v="Booking Avalibal"/>
    <s v="Yes"/>
    <x v="5"/>
    <x v="54"/>
    <s v="4.0/5-808"/>
    <n v="850"/>
    <s v="Dining"/>
  </r>
  <r>
    <s v="Cake of the Day"/>
    <n v="15"/>
    <x v="1"/>
    <x v="1"/>
    <s v="Fals"/>
    <s v="No"/>
    <x v="2"/>
    <x v="55"/>
    <s v="3.7/5-78"/>
    <n v="150"/>
    <s v="Dining"/>
  </r>
  <r>
    <s v="Kabab Magic"/>
    <n v="11"/>
    <x v="0"/>
    <x v="0"/>
    <s v="Fals"/>
    <s v="No"/>
    <x v="0"/>
    <x v="56"/>
    <s v="4.1/5-1720"/>
    <n v="400"/>
    <s v="Dining"/>
  </r>
  <r>
    <s v="Namma Brahmin's Idli"/>
    <n v="20"/>
    <x v="0"/>
    <x v="0"/>
    <s v="Fals"/>
    <s v="No"/>
    <x v="3"/>
    <x v="57"/>
    <s v="3.6/5-34"/>
    <n v="100"/>
    <s v="Dining"/>
  </r>
  <r>
    <s v="Gustoes Beer House"/>
    <n v="18"/>
    <x v="1"/>
    <x v="1"/>
    <s v="Fals"/>
    <s v="No"/>
    <x v="0"/>
    <x v="58"/>
    <s v="4.1/5-868"/>
    <n v="700"/>
    <s v="Dining"/>
  </r>
  <r>
    <s v="Sugar Rush"/>
    <n v="10"/>
    <x v="1"/>
    <x v="1"/>
    <s v="Fals"/>
    <s v="No"/>
    <x v="1"/>
    <x v="59"/>
    <s v="3.8/5-39"/>
    <n v="300"/>
    <s v="Dining"/>
  </r>
  <r>
    <s v="Burger King"/>
    <n v="11"/>
    <x v="0"/>
    <x v="0"/>
    <s v="Fals"/>
    <s v="No"/>
    <x v="10"/>
    <x v="60"/>
    <s v="3.2/5-71"/>
    <n v="600"/>
    <s v="Dining"/>
  </r>
  <r>
    <s v="The Good Bowl"/>
    <n v="13"/>
    <x v="0"/>
    <x v="0"/>
    <s v="Fals"/>
    <s v="No"/>
    <x v="3"/>
    <x v="61"/>
    <s v="3.6/5-6"/>
    <n v="500"/>
    <s v="Dining"/>
  </r>
  <r>
    <s v="The Biryani Cafe"/>
    <n v="16"/>
    <x v="1"/>
    <x v="1"/>
    <s v="Fals"/>
    <s v="No"/>
    <x v="0"/>
    <x v="62"/>
    <s v="4.1/5-520"/>
    <n v="300"/>
    <s v="Dining"/>
  </r>
  <r>
    <s v="Spicy Tandoor"/>
    <n v="13"/>
    <x v="1"/>
    <x v="1"/>
    <s v="Fals"/>
    <s v="No"/>
    <x v="0"/>
    <x v="63"/>
    <s v="4.1/5-0"/>
    <n v="150"/>
    <s v="Dining"/>
  </r>
  <r>
    <s v="LSD Cafe"/>
    <n v="8"/>
    <x v="1"/>
    <x v="1"/>
    <s v="Fals"/>
    <s v="No"/>
    <x v="15"/>
    <x v="64"/>
    <s v="2.9/5-84"/>
    <n v="700"/>
    <s v="other"/>
  </r>
  <r>
    <s v="Rolls On Wheels"/>
    <n v="15"/>
    <x v="1"/>
    <x v="1"/>
    <s v="Fals"/>
    <s v="No"/>
    <x v="3"/>
    <x v="65"/>
    <s v="3.6/5-299"/>
    <n v="300"/>
    <s v="Dining"/>
  </r>
  <r>
    <s v="Om Sri Vinayaka Chats"/>
    <n v="21"/>
    <x v="1"/>
    <x v="1"/>
    <s v="Fals"/>
    <s v="No"/>
    <x v="3"/>
    <x v="63"/>
    <s v="3.6/5-0"/>
    <n v="500"/>
    <s v="Dining"/>
  </r>
  <r>
    <s v="Sri Guru Kottureshwara Davangere Benne Dosa"/>
    <n v="43"/>
    <x v="0"/>
    <x v="0"/>
    <s v="Fals"/>
    <s v="No"/>
    <x v="0"/>
    <x v="66"/>
    <s v="4.1/5-558"/>
    <n v="150"/>
    <s v="Dining"/>
  </r>
  <r>
    <s v="Devanna Dum Biriyani Centre"/>
    <n v="27"/>
    <x v="0"/>
    <x v="0"/>
    <s v="Fals"/>
    <s v="No"/>
    <x v="3"/>
    <x v="21"/>
    <s v="3.6/5-28"/>
    <n v="300"/>
    <s v="Dining"/>
  </r>
  <r>
    <s v="Kolbeh"/>
    <n v="6"/>
    <x v="1"/>
    <x v="1"/>
    <s v="Fals"/>
    <s v="No"/>
    <x v="2"/>
    <x v="67"/>
    <s v="3.7/5-22"/>
    <n v="500"/>
    <s v="Dining"/>
  </r>
  <r>
    <s v="Upahar Sagar"/>
    <n v="12"/>
    <x v="1"/>
    <x v="1"/>
    <s v="Fals"/>
    <s v="No"/>
    <x v="1"/>
    <x v="59"/>
    <s v="3.8/5-39"/>
    <n v="350"/>
    <s v="Dining"/>
  </r>
  <r>
    <s v="Kadalu Sea Food Restaurant"/>
    <n v="26"/>
    <x v="0"/>
    <x v="0"/>
    <s v="Fals"/>
    <s v="No"/>
    <x v="1"/>
    <x v="68"/>
    <s v="3.8/5-153"/>
    <n v="500"/>
    <s v="Dining"/>
  </r>
  <r>
    <s v="Frozen Bottle"/>
    <n v="13"/>
    <x v="0"/>
    <x v="0"/>
    <s v="Fals"/>
    <s v="No"/>
    <x v="6"/>
    <x v="69"/>
    <s v="4.2/5-146"/>
    <n v="400"/>
    <s v="Dining"/>
  </r>
  <r>
    <s v="Parimala Sweets"/>
    <n v="15"/>
    <x v="1"/>
    <x v="1"/>
    <s v="Fals"/>
    <s v="No"/>
    <x v="16"/>
    <x v="70"/>
    <s v="3.5/5-14"/>
    <n v="200"/>
    <s v="Dining"/>
  </r>
  <r>
    <s v="Vaishali Deluxe"/>
    <n v="15"/>
    <x v="1"/>
    <x v="1"/>
    <s v="Fals"/>
    <s v="No"/>
    <x v="1"/>
    <x v="71"/>
    <s v="3.8/5-42"/>
    <n v="700"/>
    <s v="Dining"/>
  </r>
  <r>
    <s v="Chill Out"/>
    <n v="9"/>
    <x v="1"/>
    <x v="1"/>
    <s v="Fals"/>
    <s v="No"/>
    <x v="1"/>
    <x v="63"/>
    <s v="3.8/5-0"/>
    <n v="100"/>
    <s v="Dining"/>
  </r>
  <r>
    <s v="The Big O Bakes"/>
    <n v="15"/>
    <x v="1"/>
    <x v="1"/>
    <s v="Fals"/>
    <s v="No"/>
    <x v="5"/>
    <x v="72"/>
    <s v="4.0/5-66"/>
    <n v="300"/>
    <s v="Dining"/>
  </r>
  <r>
    <s v="Meghana Foods"/>
    <n v="13"/>
    <x v="0"/>
    <x v="0"/>
    <s v="Fals"/>
    <s v="No"/>
    <x v="13"/>
    <x v="73"/>
    <s v="4.4/5-4401"/>
    <n v="600"/>
    <s v="Dining"/>
  </r>
  <r>
    <s v="Krishna Sagar"/>
    <n v="13"/>
    <x v="1"/>
    <x v="1"/>
    <s v="Fals"/>
    <s v="No"/>
    <x v="16"/>
    <x v="22"/>
    <s v="3.5/5-31"/>
    <n v="200"/>
    <s v="Dining"/>
  </r>
  <r>
    <s v="Dessert Rose"/>
    <n v="12"/>
    <x v="1"/>
    <x v="1"/>
    <s v="Fals"/>
    <s v="No"/>
    <x v="16"/>
    <x v="74"/>
    <s v="3.5/5-7"/>
    <n v="500"/>
    <s v="Dining"/>
  </r>
  <r>
    <s v="Chickpet Donne Biryani House"/>
    <n v="28"/>
    <x v="1"/>
    <x v="1"/>
    <s v="Fals"/>
    <s v="No"/>
    <x v="2"/>
    <x v="44"/>
    <s v="3.7/5-21"/>
    <n v="250"/>
    <s v="Dining"/>
  </r>
  <r>
    <s v="Me And My Cake"/>
    <n v="14"/>
    <x v="1"/>
    <x v="1"/>
    <s v="Fals"/>
    <s v="No"/>
    <x v="2"/>
    <x v="63"/>
    <s v="3.7/5-0"/>
    <n v="500"/>
    <s v="Dining"/>
  </r>
  <r>
    <s v="Sunsadm"/>
    <n v="7"/>
    <x v="1"/>
    <x v="1"/>
    <s v="Fals"/>
    <s v="No"/>
    <x v="2"/>
    <x v="63"/>
    <s v="3.7/5-0"/>
    <n v="400"/>
    <s v="Dining"/>
  </r>
  <r>
    <s v="Annapooraneshwari Mess"/>
    <n v="22"/>
    <x v="1"/>
    <x v="1"/>
    <s v="Fals"/>
    <s v="No"/>
    <x v="2"/>
    <x v="63"/>
    <s v="3.7/5-0"/>
    <n v="200"/>
    <s v="Dining"/>
  </r>
  <r>
    <s v="Thanco's Natural Ice Creams"/>
    <n v="27"/>
    <x v="1"/>
    <x v="1"/>
    <s v="Fals"/>
    <s v="No"/>
    <x v="10"/>
    <x v="75"/>
    <s v="3.2/5-9"/>
    <n v="300"/>
    <s v="Dining"/>
  </r>
  <r>
    <s v="Nandhini Deluxe"/>
    <n v="15"/>
    <x v="1"/>
    <x v="1"/>
    <s v="Fals"/>
    <s v="No"/>
    <x v="17"/>
    <x v="76"/>
    <s v="2.6/5-283"/>
    <n v="600"/>
    <s v="Dining"/>
  </r>
  <r>
    <s v="Vi Ra's Bar and Restaurant"/>
    <n v="26"/>
    <x v="1"/>
    <x v="1"/>
    <s v="Fals"/>
    <s v="No"/>
    <x v="11"/>
    <x v="19"/>
    <s v="3.3/5-62"/>
    <n v="800"/>
    <s v="Dining"/>
  </r>
  <r>
    <s v="Kaggis"/>
    <n v="6"/>
    <x v="1"/>
    <x v="1"/>
    <s v="Fals"/>
    <s v="No"/>
    <x v="1"/>
    <x v="77"/>
    <s v="3.8/5-64"/>
    <n v="250"/>
    <s v="Dining"/>
  </r>
  <r>
    <s v="Ayda Persian Kitchen"/>
    <n v="20"/>
    <x v="1"/>
    <x v="1"/>
    <s v="Fals"/>
    <s v="No"/>
    <x v="2"/>
    <x v="59"/>
    <s v="3.7/5-39"/>
    <n v="950"/>
    <s v="Dining"/>
  </r>
  <r>
    <s v="Chatar Patar"/>
    <n v="12"/>
    <x v="1"/>
    <x v="1"/>
    <s v="Fals"/>
    <s v="No"/>
    <x v="2"/>
    <x v="78"/>
    <s v="3.7/5-65"/>
    <n v="300"/>
    <s v="Dining"/>
  </r>
  <r>
    <s v="Polar Bear"/>
    <n v="10"/>
    <x v="0"/>
    <x v="0"/>
    <s v="Fals"/>
    <s v="No"/>
    <x v="1"/>
    <x v="60"/>
    <s v="3.8/5-71"/>
    <n v="400"/>
    <s v="Dining"/>
  </r>
  <r>
    <s v="Kidambi's Kitchen"/>
    <n v="17"/>
    <x v="1"/>
    <x v="1"/>
    <s v="Fals"/>
    <s v="No"/>
    <x v="16"/>
    <x v="79"/>
    <s v="3.5/5-52"/>
    <n v="300"/>
    <s v="Dining"/>
  </r>
  <r>
    <s v="Mane Thindi"/>
    <n v="11"/>
    <x v="1"/>
    <x v="1"/>
    <s v="Fals"/>
    <s v="No"/>
    <x v="2"/>
    <x v="80"/>
    <s v="3.7/5-130"/>
    <n v="200"/>
    <s v="Dining"/>
  </r>
  <r>
    <s v="Kotian Karavali Restaurant"/>
    <n v="26"/>
    <x v="1"/>
    <x v="1"/>
    <s v="Fals"/>
    <s v="No"/>
    <x v="16"/>
    <x v="81"/>
    <s v="3.5/5-10"/>
    <n v="300"/>
    <s v="Dining"/>
  </r>
  <r>
    <s v="Floured-Baked With Love"/>
    <n v="23"/>
    <x v="1"/>
    <x v="1"/>
    <s v="Fals"/>
    <s v="No"/>
    <x v="18"/>
    <x v="82"/>
    <s v="3.8 /5-45"/>
    <n v="400"/>
    <s v="Dining"/>
  </r>
  <r>
    <s v="CAFE NOVA"/>
    <n v="9"/>
    <x v="1"/>
    <x v="1"/>
    <s v="Fals"/>
    <s v="No"/>
    <x v="10"/>
    <x v="23"/>
    <s v="3.2/5-11"/>
    <n v="600"/>
    <s v="Dining"/>
  </r>
  <r>
    <s v="Cakes &amp; Slices"/>
    <n v="14"/>
    <x v="1"/>
    <x v="1"/>
    <s v="Fals"/>
    <s v="No"/>
    <x v="16"/>
    <x v="18"/>
    <s v="3.5/5-13"/>
    <n v="300"/>
    <s v="Dining"/>
  </r>
  <r>
    <s v="Spice 9"/>
    <n v="7"/>
    <x v="1"/>
    <x v="1"/>
    <s v="Fals"/>
    <s v="No"/>
    <x v="19"/>
    <x v="6"/>
    <s v="3.4/5-8"/>
    <n v="300"/>
    <s v="Dining"/>
  </r>
  <r>
    <s v="Coffee Shopee"/>
    <n v="13"/>
    <x v="1"/>
    <x v="1"/>
    <s v="Fals"/>
    <s v="No"/>
    <x v="19"/>
    <x v="63"/>
    <s v="3.4/5-0"/>
    <n v="250"/>
    <s v="Dining"/>
  </r>
  <r>
    <s v="Naveen Kabab &amp; Biriyani Mane"/>
    <n v="28"/>
    <x v="1"/>
    <x v="1"/>
    <s v="Fals"/>
    <s v="No"/>
    <x v="10"/>
    <x v="75"/>
    <s v="3.2/5-9"/>
    <n v="300"/>
    <s v="Dining"/>
  </r>
  <r>
    <s v="Katriguppe Donne Biryani"/>
    <n v="24"/>
    <x v="1"/>
    <x v="1"/>
    <s v="Fals"/>
    <s v="No"/>
    <x v="10"/>
    <x v="25"/>
    <s v="3.2/5-4"/>
    <n v="300"/>
    <s v="Dining"/>
  </r>
  <r>
    <s v="Hari Super Sandwich"/>
    <n v="19"/>
    <x v="1"/>
    <x v="1"/>
    <s v="Fals"/>
    <s v="No"/>
    <x v="10"/>
    <x v="63"/>
    <s v="3.2/5-0"/>
    <n v="200"/>
    <s v="Dining"/>
  </r>
  <r>
    <s v="Atithi Point Ande Ka Funda"/>
    <n v="26"/>
    <x v="1"/>
    <x v="1"/>
    <s v="Fals"/>
    <s v="No"/>
    <x v="8"/>
    <x v="83"/>
    <s v="3.1/5-29"/>
    <n v="150"/>
    <s v="Dining"/>
  </r>
  <r>
    <s v="Just Bake"/>
    <n v="9"/>
    <x v="1"/>
    <x v="1"/>
    <s v="Fals"/>
    <s v="No"/>
    <x v="19"/>
    <x v="6"/>
    <s v="3.4/5-8"/>
    <n v="400"/>
    <s v="Dining"/>
  </r>
  <r>
    <s v="Dharwad Line Bazaar Mishra Pedha"/>
    <n v="32"/>
    <x v="1"/>
    <x v="1"/>
    <s v="Fals"/>
    <s v="No"/>
    <x v="19"/>
    <x v="63"/>
    <s v="3.4/5-0"/>
    <n v="150"/>
    <s v="Dining"/>
  </r>
  <r>
    <s v="Cake Bite"/>
    <n v="9"/>
    <x v="1"/>
    <x v="1"/>
    <s v="Fals"/>
    <s v="No"/>
    <x v="19"/>
    <x v="63"/>
    <s v="3.4/5-0"/>
    <n v="300"/>
    <s v="Dining"/>
  </r>
  <r>
    <s v="Aarush's Food Plaza"/>
    <n v="19"/>
    <x v="1"/>
    <x v="1"/>
    <s v="Fals"/>
    <s v="No"/>
    <x v="19"/>
    <x v="63"/>
    <s v="3.4/5-0"/>
    <n v="200"/>
    <s v="Dining"/>
  </r>
  <r>
    <s v="Wood Stove"/>
    <n v="10"/>
    <x v="1"/>
    <x v="1"/>
    <s v="Fals"/>
    <s v="No"/>
    <x v="19"/>
    <x v="63"/>
    <s v="3.4/5-0"/>
    <n v="150"/>
    <s v="Dining"/>
  </r>
  <r>
    <s v="Kulfi &amp; More"/>
    <n v="12"/>
    <x v="1"/>
    <x v="1"/>
    <s v="Fals"/>
    <s v="No"/>
    <x v="19"/>
    <x v="63"/>
    <s v="3.4/5-0"/>
    <n v="150"/>
    <s v="Dining"/>
  </r>
  <r>
    <s v="Kannadigas Karavali"/>
    <n v="19"/>
    <x v="1"/>
    <x v="1"/>
    <s v="Fals"/>
    <s v="No"/>
    <x v="19"/>
    <x v="63"/>
    <s v="3.4/5-0"/>
    <n v="250"/>
    <s v="Dining"/>
  </r>
  <r>
    <s v="K27 - The Pub"/>
    <n v="13"/>
    <x v="1"/>
    <x v="1"/>
    <s v="Fals"/>
    <s v="No"/>
    <x v="8"/>
    <x v="84"/>
    <s v="3.1/5-30"/>
    <n v="900"/>
    <s v="Dining"/>
  </r>
  <r>
    <s v="Bengaluru Coffee House"/>
    <n v="22"/>
    <x v="0"/>
    <x v="0"/>
    <s v="Fals"/>
    <s v="No"/>
    <x v="0"/>
    <x v="85"/>
    <s v="4.1/5-201"/>
    <n v="300"/>
    <s v="Dining"/>
  </r>
  <r>
    <s v="New Mangalore Lunch Home"/>
    <n v="24"/>
    <x v="1"/>
    <x v="1"/>
    <s v="Fals"/>
    <s v="No"/>
    <x v="11"/>
    <x v="74"/>
    <s v="3.3/5-7"/>
    <n v="200"/>
    <s v="Dining"/>
  </r>
  <r>
    <s v="Coffee Bytes"/>
    <n v="12"/>
    <x v="1"/>
    <x v="1"/>
    <s v="Fals"/>
    <s v="No"/>
    <x v="8"/>
    <x v="61"/>
    <s v="3.1/5-6"/>
    <n v="100"/>
    <s v="Dining"/>
  </r>
  <r>
    <s v="Parjanya Chat Zone"/>
    <n v="18"/>
    <x v="1"/>
    <x v="1"/>
    <s v="Fals"/>
    <s v="No"/>
    <x v="11"/>
    <x v="37"/>
    <s v="3.3/5-17"/>
    <n v="200"/>
    <s v="Dining"/>
  </r>
  <r>
    <s v="Kwality Wall's Swirl's Happiness Station"/>
    <n v="40"/>
    <x v="1"/>
    <x v="1"/>
    <s v="Fals"/>
    <s v="No"/>
    <x v="15"/>
    <x v="86"/>
    <s v="2.9/5-25"/>
    <n v="200"/>
    <s v="Dining"/>
  </r>
  <r>
    <s v="Soms Kitchen &amp; Bakes"/>
    <n v="20"/>
    <x v="1"/>
    <x v="1"/>
    <s v="Fals"/>
    <s v="No"/>
    <x v="15"/>
    <x v="63"/>
    <s v="2.9/5-0"/>
    <n v="400"/>
    <s v="Dining"/>
  </r>
  <r>
    <s v="Banashankari Nati Style"/>
    <n v="23"/>
    <x v="1"/>
    <x v="1"/>
    <s v="Fals"/>
    <s v="No"/>
    <x v="15"/>
    <x v="63"/>
    <s v="2.9/5-0"/>
    <n v="350"/>
    <s v="Dining"/>
  </r>
  <r>
    <s v="Ruchi Maayaka"/>
    <n v="13"/>
    <x v="1"/>
    <x v="1"/>
    <s v="Fals"/>
    <s v="No"/>
    <x v="11"/>
    <x v="6"/>
    <s v="3.3/5-8"/>
    <n v="100"/>
    <s v="Dining"/>
  </r>
  <r>
    <s v="Mohitesh Hut Roll"/>
    <n v="17"/>
    <x v="1"/>
    <x v="1"/>
    <s v="Fals"/>
    <s v="No"/>
    <x v="11"/>
    <x v="63"/>
    <s v="3.3/5-0"/>
    <n v="150"/>
    <s v="Dining"/>
  </r>
  <r>
    <s v="Sri Basaveshwar Jolada Rotti Oota"/>
    <n v="33"/>
    <x v="1"/>
    <x v="1"/>
    <s v="Fals"/>
    <s v="No"/>
    <x v="19"/>
    <x v="63"/>
    <s v="3.4/5-0"/>
    <n v="150"/>
    <s v="Dining"/>
  </r>
  <r>
    <s v="Roll Magic Fast Food"/>
    <n v="20"/>
    <x v="1"/>
    <x v="1"/>
    <s v="Fals"/>
    <s v="No"/>
    <x v="19"/>
    <x v="63"/>
    <s v="3.4/5-0"/>
    <n v="200"/>
    <s v="Dining"/>
  </r>
  <r>
    <s v="Foodlieious Multi Cuisine"/>
    <n v="25"/>
    <x v="1"/>
    <x v="1"/>
    <s v="Fals"/>
    <s v="No"/>
    <x v="19"/>
    <x v="63"/>
    <s v="3.4/5-0"/>
    <n v="100"/>
    <s v="Dining"/>
  </r>
  <r>
    <s v="Thanishka Nati And Karavali Style"/>
    <n v="33"/>
    <x v="1"/>
    <x v="1"/>
    <s v="Fals"/>
    <s v="No"/>
    <x v="8"/>
    <x v="63"/>
    <s v="3.1/5-0"/>
    <n v="400"/>
    <s v="Dining"/>
  </r>
  <r>
    <s v="Swathi Cool Point"/>
    <n v="17"/>
    <x v="1"/>
    <x v="1"/>
    <s v="Fals"/>
    <s v="No"/>
    <x v="0"/>
    <x v="63"/>
    <s v="4.1/5-0"/>
    <n v="200"/>
    <s v="Dining"/>
  </r>
  <r>
    <s v="Kaumudis Juoice"/>
    <n v="15"/>
    <x v="1"/>
    <x v="1"/>
    <s v="Fals"/>
    <s v="No"/>
    <x v="11"/>
    <x v="63"/>
    <s v="3.3/5-0"/>
    <n v="150"/>
    <s v="Dining"/>
  </r>
  <r>
    <s v="Amma - Manae"/>
    <n v="12"/>
    <x v="1"/>
    <x v="1"/>
    <s v="Fals"/>
    <s v="No"/>
    <x v="8"/>
    <x v="63"/>
    <s v="3.1/5-0"/>
    <n v="400"/>
    <s v="Dining"/>
  </r>
  <r>
    <s v="Sri Sai Tiffannies"/>
    <n v="18"/>
    <x v="1"/>
    <x v="1"/>
    <s v="Fals"/>
    <s v="No"/>
    <x v="11"/>
    <x v="63"/>
    <s v="3.3/5-0"/>
    <n v="150"/>
    <s v="Dining"/>
  </r>
  <r>
    <s v="Hotel Andhra Speices"/>
    <n v="20"/>
    <x v="1"/>
    <x v="1"/>
    <s v="Fals"/>
    <s v="No"/>
    <x v="15"/>
    <x v="63"/>
    <s v="2.9/5-0"/>
    <n v="250"/>
    <s v="Dining"/>
  </r>
  <r>
    <s v="Sri Murari Family Restaurant"/>
    <n v="28"/>
    <x v="1"/>
    <x v="1"/>
    <s v="Fals"/>
    <s v="No"/>
    <x v="15"/>
    <x v="63"/>
    <s v="2.9/5-0"/>
    <n v="250"/>
    <s v="Dining"/>
  </r>
  <r>
    <s v="Aramane Donne Biriyani"/>
    <n v="22"/>
    <x v="1"/>
    <x v="1"/>
    <s v="Fals"/>
    <s v="No"/>
    <x v="15"/>
    <x v="63"/>
    <s v="2.9/5-0"/>
    <n v="150"/>
    <s v="Dining"/>
  </r>
  <r>
    <s v="Darkolates"/>
    <n v="10"/>
    <x v="1"/>
    <x v="1"/>
    <s v="Fals"/>
    <s v="No"/>
    <x v="11"/>
    <x v="63"/>
    <s v="3.3/5-0"/>
    <n v="200"/>
    <s v="Dining"/>
  </r>
  <r>
    <s v="Swaada Healthy Kitchen"/>
    <n v="22"/>
    <x v="1"/>
    <x v="1"/>
    <s v="Fals"/>
    <s v="No"/>
    <x v="11"/>
    <x v="63"/>
    <s v="3.3/5-0"/>
    <n v="350"/>
    <s v="Dining"/>
  </r>
  <r>
    <s v="Gawdaru Mane Beriyani"/>
    <n v="21"/>
    <x v="1"/>
    <x v="1"/>
    <s v="Fals"/>
    <s v="No"/>
    <x v="11"/>
    <x v="63"/>
    <s v="3.3/5-0"/>
    <n v="300"/>
    <s v="Dining"/>
  </r>
  <r>
    <s v="Melting Melodies"/>
    <n v="16"/>
    <x v="1"/>
    <x v="1"/>
    <s v="Fals"/>
    <s v="No"/>
    <x v="11"/>
    <x v="63"/>
    <s v="3.3/5-0"/>
    <n v="100"/>
    <s v="Dining"/>
  </r>
  <r>
    <s v="New Indraprasta"/>
    <n v="15"/>
    <x v="1"/>
    <x v="1"/>
    <s v="Fals"/>
    <s v="No"/>
    <x v="11"/>
    <x v="63"/>
    <s v="3.3/5-0"/>
    <n v="150"/>
    <s v="Dining"/>
  </r>
  <r>
    <s v="Anna Kuteera"/>
    <n v="12"/>
    <x v="0"/>
    <x v="0"/>
    <s v="Fals"/>
    <s v="No"/>
    <x v="5"/>
    <x v="87"/>
    <s v="4.0/5-771"/>
    <n v="450"/>
    <s v="Dining"/>
  </r>
  <r>
    <s v="Darbar"/>
    <n v="6"/>
    <x v="1"/>
    <x v="1"/>
    <s v="Fals"/>
    <s v="No"/>
    <x v="9"/>
    <x v="88"/>
    <s v="3.0/5-98"/>
    <n v="800"/>
    <s v="Dining"/>
  </r>
  <r>
    <s v="Vijayalakshmi"/>
    <n v="13"/>
    <x v="0"/>
    <x v="0"/>
    <s v="Fals"/>
    <s v="No"/>
    <x v="7"/>
    <x v="89"/>
    <s v="3.9/5-47"/>
    <n v="200"/>
    <s v="Din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25" firstHeaderRow="1" firstDataRow="1" firstDataCol="1"/>
  <pivotFields count="7">
    <pivotField dataField="1" showAll="0">
      <items count="147">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x="145"/>
        <item t="default"/>
      </items>
    </pivotField>
    <pivotField showAll="0"/>
    <pivotField showAll="0"/>
    <pivotField axis="axisRow" showAll="0">
      <items count="22">
        <item x="17"/>
        <item x="12"/>
        <item x="15"/>
        <item x="9"/>
        <item x="8"/>
        <item x="10"/>
        <item x="11"/>
        <item x="19"/>
        <item x="16"/>
        <item x="3"/>
        <item x="2"/>
        <item x="18"/>
        <item x="1"/>
        <item x="7"/>
        <item x="5"/>
        <item x="0"/>
        <item x="6"/>
        <item x="14"/>
        <item x="13"/>
        <item x="4"/>
        <item x="20"/>
        <item t="default"/>
      </items>
    </pivotField>
    <pivotField showAll="0"/>
    <pivotField showAll="0"/>
    <pivotField showAll="0">
      <items count="6">
        <item x="0"/>
        <item x="1"/>
        <item x="3"/>
        <item x="2"/>
        <item x="4"/>
        <item t="default"/>
      </items>
    </pivotField>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24" firstHeaderRow="1" firstDataRow="1" firstDataCol="1"/>
  <pivotFields count="11">
    <pivotField showAll="0"/>
    <pivotField showAll="0"/>
    <pivotField showAll="0"/>
    <pivotField showAll="0"/>
    <pivotField showAll="0"/>
    <pivotField showAll="0"/>
    <pivotField axis="axisRow" showAll="0">
      <items count="21">
        <item x="17"/>
        <item x="12"/>
        <item x="15"/>
        <item x="9"/>
        <item x="8"/>
        <item x="10"/>
        <item x="11"/>
        <item x="19"/>
        <item x="16"/>
        <item x="3"/>
        <item x="2"/>
        <item x="18"/>
        <item x="1"/>
        <item x="7"/>
        <item x="5"/>
        <item x="0"/>
        <item x="6"/>
        <item x="14"/>
        <item x="13"/>
        <item x="4"/>
        <item t="default"/>
      </items>
    </pivotField>
    <pivotField dataField="1" showAll="0">
      <items count="91">
        <item x="63"/>
        <item x="25"/>
        <item x="61"/>
        <item x="74"/>
        <item x="6"/>
        <item x="75"/>
        <item x="81"/>
        <item x="23"/>
        <item x="18"/>
        <item x="70"/>
        <item x="37"/>
        <item x="44"/>
        <item x="67"/>
        <item x="26"/>
        <item x="86"/>
        <item x="21"/>
        <item x="83"/>
        <item x="84"/>
        <item x="22"/>
        <item x="57"/>
        <item x="30"/>
        <item x="39"/>
        <item x="59"/>
        <item x="71"/>
        <item x="82"/>
        <item x="89"/>
        <item x="79"/>
        <item x="51"/>
        <item x="53"/>
        <item x="19"/>
        <item x="77"/>
        <item x="78"/>
        <item x="72"/>
        <item x="60"/>
        <item x="24"/>
        <item x="55"/>
        <item x="64"/>
        <item x="3"/>
        <item x="14"/>
        <item x="34"/>
        <item x="17"/>
        <item x="88"/>
        <item x="49"/>
        <item x="80"/>
        <item x="15"/>
        <item x="16"/>
        <item x="69"/>
        <item x="27"/>
        <item x="11"/>
        <item x="68"/>
        <item x="52"/>
        <item x="12"/>
        <item x="4"/>
        <item x="31"/>
        <item x="20"/>
        <item x="85"/>
        <item x="28"/>
        <item x="33"/>
        <item x="40"/>
        <item x="43"/>
        <item x="76"/>
        <item x="5"/>
        <item x="65"/>
        <item x="8"/>
        <item x="45"/>
        <item x="50"/>
        <item x="10"/>
        <item x="32"/>
        <item x="13"/>
        <item x="9"/>
        <item x="29"/>
        <item x="62"/>
        <item x="38"/>
        <item x="66"/>
        <item x="46"/>
        <item x="48"/>
        <item x="42"/>
        <item x="87"/>
        <item x="0"/>
        <item x="1"/>
        <item x="41"/>
        <item x="54"/>
        <item x="58"/>
        <item x="2"/>
        <item x="47"/>
        <item x="35"/>
        <item x="56"/>
        <item x="7"/>
        <item x="73"/>
        <item x="36"/>
        <item t="default"/>
      </items>
    </pivotField>
    <pivotField showAll="0"/>
    <pivotField showAll="0"/>
    <pivotField showAll="0"/>
  </pivotFields>
  <rowFields count="1">
    <field x="6"/>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votes" fld="7" baseField="0" baseItem="0"/>
  </dataFields>
  <chartFormats count="4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0" format="7">
      <pivotArea type="data" outline="0" fieldPosition="0">
        <references count="2">
          <reference field="4294967294" count="1" selected="0">
            <x v="0"/>
          </reference>
          <reference field="6" count="1" selected="0">
            <x v="6"/>
          </reference>
        </references>
      </pivotArea>
    </chartFormat>
    <chartFormat chart="0" format="8">
      <pivotArea type="data" outline="0" fieldPosition="0">
        <references count="2">
          <reference field="4294967294" count="1" selected="0">
            <x v="0"/>
          </reference>
          <reference field="6" count="1" selected="0">
            <x v="7"/>
          </reference>
        </references>
      </pivotArea>
    </chartFormat>
    <chartFormat chart="0" format="9">
      <pivotArea type="data" outline="0" fieldPosition="0">
        <references count="2">
          <reference field="4294967294" count="1" selected="0">
            <x v="0"/>
          </reference>
          <reference field="6" count="1" selected="0">
            <x v="8"/>
          </reference>
        </references>
      </pivotArea>
    </chartFormat>
    <chartFormat chart="0" format="10">
      <pivotArea type="data" outline="0" fieldPosition="0">
        <references count="2">
          <reference field="4294967294" count="1" selected="0">
            <x v="0"/>
          </reference>
          <reference field="6" count="1" selected="0">
            <x v="9"/>
          </reference>
        </references>
      </pivotArea>
    </chartFormat>
    <chartFormat chart="0" format="11">
      <pivotArea type="data" outline="0" fieldPosition="0">
        <references count="2">
          <reference field="4294967294" count="1" selected="0">
            <x v="0"/>
          </reference>
          <reference field="6" count="1" selected="0">
            <x v="10"/>
          </reference>
        </references>
      </pivotArea>
    </chartFormat>
    <chartFormat chart="0" format="12">
      <pivotArea type="data" outline="0" fieldPosition="0">
        <references count="2">
          <reference field="4294967294" count="1" selected="0">
            <x v="0"/>
          </reference>
          <reference field="6" count="1" selected="0">
            <x v="11"/>
          </reference>
        </references>
      </pivotArea>
    </chartFormat>
    <chartFormat chart="0" format="13">
      <pivotArea type="data" outline="0" fieldPosition="0">
        <references count="2">
          <reference field="4294967294" count="1" selected="0">
            <x v="0"/>
          </reference>
          <reference field="6" count="1" selected="0">
            <x v="12"/>
          </reference>
        </references>
      </pivotArea>
    </chartFormat>
    <chartFormat chart="0" format="14">
      <pivotArea type="data" outline="0" fieldPosition="0">
        <references count="2">
          <reference field="4294967294" count="1" selected="0">
            <x v="0"/>
          </reference>
          <reference field="6" count="1" selected="0">
            <x v="13"/>
          </reference>
        </references>
      </pivotArea>
    </chartFormat>
    <chartFormat chart="0" format="15">
      <pivotArea type="data" outline="0" fieldPosition="0">
        <references count="2">
          <reference field="4294967294" count="1" selected="0">
            <x v="0"/>
          </reference>
          <reference field="6" count="1" selected="0">
            <x v="14"/>
          </reference>
        </references>
      </pivotArea>
    </chartFormat>
    <chartFormat chart="0" format="16">
      <pivotArea type="data" outline="0" fieldPosition="0">
        <references count="2">
          <reference field="4294967294" count="1" selected="0">
            <x v="0"/>
          </reference>
          <reference field="6" count="1" selected="0">
            <x v="15"/>
          </reference>
        </references>
      </pivotArea>
    </chartFormat>
    <chartFormat chart="0" format="17">
      <pivotArea type="data" outline="0" fieldPosition="0">
        <references count="2">
          <reference field="4294967294" count="1" selected="0">
            <x v="0"/>
          </reference>
          <reference field="6" count="1" selected="0">
            <x v="16"/>
          </reference>
        </references>
      </pivotArea>
    </chartFormat>
    <chartFormat chart="0" format="18">
      <pivotArea type="data" outline="0" fieldPosition="0">
        <references count="2">
          <reference field="4294967294" count="1" selected="0">
            <x v="0"/>
          </reference>
          <reference field="6" count="1" selected="0">
            <x v="17"/>
          </reference>
        </references>
      </pivotArea>
    </chartFormat>
    <chartFormat chart="0" format="19">
      <pivotArea type="data" outline="0" fieldPosition="0">
        <references count="2">
          <reference field="4294967294" count="1" selected="0">
            <x v="0"/>
          </reference>
          <reference field="6" count="1" selected="0">
            <x v="18"/>
          </reference>
        </references>
      </pivotArea>
    </chartFormat>
    <chartFormat chart="0" format="20">
      <pivotArea type="data" outline="0" fieldPosition="0">
        <references count="2">
          <reference field="4294967294" count="1" selected="0">
            <x v="0"/>
          </reference>
          <reference field="6" count="1" selected="0">
            <x v="19"/>
          </reference>
        </references>
      </pivotArea>
    </chartFormat>
    <chartFormat chart="5" format="42" series="1">
      <pivotArea type="data" outline="0" fieldPosition="0">
        <references count="1">
          <reference field="4294967294" count="1" selected="0">
            <x v="0"/>
          </reference>
        </references>
      </pivotArea>
    </chartFormat>
    <chartFormat chart="5" format="43">
      <pivotArea type="data" outline="0" fieldPosition="0">
        <references count="2">
          <reference field="4294967294" count="1" selected="0">
            <x v="0"/>
          </reference>
          <reference field="6" count="1" selected="0">
            <x v="0"/>
          </reference>
        </references>
      </pivotArea>
    </chartFormat>
    <chartFormat chart="5" format="44">
      <pivotArea type="data" outline="0" fieldPosition="0">
        <references count="2">
          <reference field="4294967294" count="1" selected="0">
            <x v="0"/>
          </reference>
          <reference field="6" count="1" selected="0">
            <x v="1"/>
          </reference>
        </references>
      </pivotArea>
    </chartFormat>
    <chartFormat chart="5" format="45">
      <pivotArea type="data" outline="0" fieldPosition="0">
        <references count="2">
          <reference field="4294967294" count="1" selected="0">
            <x v="0"/>
          </reference>
          <reference field="6" count="1" selected="0">
            <x v="2"/>
          </reference>
        </references>
      </pivotArea>
    </chartFormat>
    <chartFormat chart="5" format="46">
      <pivotArea type="data" outline="0" fieldPosition="0">
        <references count="2">
          <reference field="4294967294" count="1" selected="0">
            <x v="0"/>
          </reference>
          <reference field="6" count="1" selected="0">
            <x v="3"/>
          </reference>
        </references>
      </pivotArea>
    </chartFormat>
    <chartFormat chart="5" format="47">
      <pivotArea type="data" outline="0" fieldPosition="0">
        <references count="2">
          <reference field="4294967294" count="1" selected="0">
            <x v="0"/>
          </reference>
          <reference field="6" count="1" selected="0">
            <x v="4"/>
          </reference>
        </references>
      </pivotArea>
    </chartFormat>
    <chartFormat chart="5" format="48">
      <pivotArea type="data" outline="0" fieldPosition="0">
        <references count="2">
          <reference field="4294967294" count="1" selected="0">
            <x v="0"/>
          </reference>
          <reference field="6" count="1" selected="0">
            <x v="5"/>
          </reference>
        </references>
      </pivotArea>
    </chartFormat>
    <chartFormat chart="5" format="49">
      <pivotArea type="data" outline="0" fieldPosition="0">
        <references count="2">
          <reference field="4294967294" count="1" selected="0">
            <x v="0"/>
          </reference>
          <reference field="6" count="1" selected="0">
            <x v="6"/>
          </reference>
        </references>
      </pivotArea>
    </chartFormat>
    <chartFormat chart="5" format="50">
      <pivotArea type="data" outline="0" fieldPosition="0">
        <references count="2">
          <reference field="4294967294" count="1" selected="0">
            <x v="0"/>
          </reference>
          <reference field="6" count="1" selected="0">
            <x v="7"/>
          </reference>
        </references>
      </pivotArea>
    </chartFormat>
    <chartFormat chart="5" format="51">
      <pivotArea type="data" outline="0" fieldPosition="0">
        <references count="2">
          <reference field="4294967294" count="1" selected="0">
            <x v="0"/>
          </reference>
          <reference field="6" count="1" selected="0">
            <x v="8"/>
          </reference>
        </references>
      </pivotArea>
    </chartFormat>
    <chartFormat chart="5" format="52">
      <pivotArea type="data" outline="0" fieldPosition="0">
        <references count="2">
          <reference field="4294967294" count="1" selected="0">
            <x v="0"/>
          </reference>
          <reference field="6" count="1" selected="0">
            <x v="9"/>
          </reference>
        </references>
      </pivotArea>
    </chartFormat>
    <chartFormat chart="5" format="53">
      <pivotArea type="data" outline="0" fieldPosition="0">
        <references count="2">
          <reference field="4294967294" count="1" selected="0">
            <x v="0"/>
          </reference>
          <reference field="6" count="1" selected="0">
            <x v="10"/>
          </reference>
        </references>
      </pivotArea>
    </chartFormat>
    <chartFormat chart="5" format="54">
      <pivotArea type="data" outline="0" fieldPosition="0">
        <references count="2">
          <reference field="4294967294" count="1" selected="0">
            <x v="0"/>
          </reference>
          <reference field="6" count="1" selected="0">
            <x v="11"/>
          </reference>
        </references>
      </pivotArea>
    </chartFormat>
    <chartFormat chart="5" format="55">
      <pivotArea type="data" outline="0" fieldPosition="0">
        <references count="2">
          <reference field="4294967294" count="1" selected="0">
            <x v="0"/>
          </reference>
          <reference field="6" count="1" selected="0">
            <x v="12"/>
          </reference>
        </references>
      </pivotArea>
    </chartFormat>
    <chartFormat chart="5" format="56">
      <pivotArea type="data" outline="0" fieldPosition="0">
        <references count="2">
          <reference field="4294967294" count="1" selected="0">
            <x v="0"/>
          </reference>
          <reference field="6" count="1" selected="0">
            <x v="13"/>
          </reference>
        </references>
      </pivotArea>
    </chartFormat>
    <chartFormat chart="5" format="57">
      <pivotArea type="data" outline="0" fieldPosition="0">
        <references count="2">
          <reference field="4294967294" count="1" selected="0">
            <x v="0"/>
          </reference>
          <reference field="6" count="1" selected="0">
            <x v="14"/>
          </reference>
        </references>
      </pivotArea>
    </chartFormat>
    <chartFormat chart="5" format="58">
      <pivotArea type="data" outline="0" fieldPosition="0">
        <references count="2">
          <reference field="4294967294" count="1" selected="0">
            <x v="0"/>
          </reference>
          <reference field="6" count="1" selected="0">
            <x v="15"/>
          </reference>
        </references>
      </pivotArea>
    </chartFormat>
    <chartFormat chart="5" format="59">
      <pivotArea type="data" outline="0" fieldPosition="0">
        <references count="2">
          <reference field="4294967294" count="1" selected="0">
            <x v="0"/>
          </reference>
          <reference field="6" count="1" selected="0">
            <x v="16"/>
          </reference>
        </references>
      </pivotArea>
    </chartFormat>
    <chartFormat chart="5" format="60">
      <pivotArea type="data" outline="0" fieldPosition="0">
        <references count="2">
          <reference field="4294967294" count="1" selected="0">
            <x v="0"/>
          </reference>
          <reference field="6" count="1" selected="0">
            <x v="17"/>
          </reference>
        </references>
      </pivotArea>
    </chartFormat>
    <chartFormat chart="5" format="61">
      <pivotArea type="data" outline="0" fieldPosition="0">
        <references count="2">
          <reference field="4294967294" count="1" selected="0">
            <x v="0"/>
          </reference>
          <reference field="6" count="1" selected="0">
            <x v="18"/>
          </reference>
        </references>
      </pivotArea>
    </chartFormat>
    <chartFormat chart="5" format="62">
      <pivotArea type="data" outline="0" fieldPosition="0">
        <references count="2">
          <reference field="4294967294" count="1" selected="0">
            <x v="0"/>
          </reference>
          <reference field="6"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6" firstHeaderRow="1" firstDataRow="1" firstDataCol="1"/>
  <pivotFields count="11">
    <pivotField showAll="0"/>
    <pivotField showAll="0"/>
    <pivotField axis="axisRow" showAll="0">
      <items count="3">
        <item x="1"/>
        <item x="0"/>
        <item t="default"/>
      </items>
    </pivotField>
    <pivotField dataField="1" showAll="0">
      <items count="3">
        <item x="1"/>
        <item x="0"/>
        <item t="default"/>
      </items>
    </pivotField>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online_order" fld="3"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Fields count="11">
    <pivotField showAll="0" sortType="ascending"/>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ew_online_orders" sourceName="New online orders">
  <pivotTables>
    <pivotTable tabId="5" name="PivotTable2"/>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nline_order" sourceName="online_order">
  <pivotTables>
    <pivotTable tabId="5" name="PivotTable2"/>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ate" sourceName="rate">
  <pivotTables>
    <pivotTable tabId="4" name="PivotTable1"/>
  </pivotTables>
  <data>
    <tabular pivotCacheId="1">
      <items count="20">
        <i x="17" s="1"/>
        <i x="12" s="1"/>
        <i x="15" s="1"/>
        <i x="9" s="1"/>
        <i x="8" s="1"/>
        <i x="10" s="1"/>
        <i x="11" s="1"/>
        <i x="19" s="1"/>
        <i x="16" s="1"/>
        <i x="3" s="1"/>
        <i x="2" s="1"/>
        <i x="18" s="1"/>
        <i x="1" s="1"/>
        <i x="7" s="1"/>
        <i x="5" s="1"/>
        <i x="0" s="1"/>
        <i x="6" s="1"/>
        <i x="14" s="1"/>
        <i x="1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votes" sourceName="votes">
  <pivotTables>
    <pivotTable tabId="4" name="PivotTable1"/>
  </pivotTables>
  <data>
    <tabular pivotCacheId="1">
      <items count="90">
        <i x="63" s="1"/>
        <i x="25" s="1"/>
        <i x="61" s="1"/>
        <i x="74" s="1"/>
        <i x="6" s="1"/>
        <i x="75" s="1"/>
        <i x="81" s="1"/>
        <i x="23" s="1"/>
        <i x="18" s="1"/>
        <i x="70" s="1"/>
        <i x="37" s="1"/>
        <i x="44" s="1"/>
        <i x="67" s="1"/>
        <i x="26" s="1"/>
        <i x="86" s="1"/>
        <i x="21" s="1"/>
        <i x="83" s="1"/>
        <i x="84" s="1"/>
        <i x="22" s="1"/>
        <i x="57" s="1"/>
        <i x="30" s="1"/>
        <i x="39" s="1"/>
        <i x="59" s="1"/>
        <i x="71" s="1"/>
        <i x="82" s="1"/>
        <i x="89" s="1"/>
        <i x="79" s="1"/>
        <i x="51" s="1"/>
        <i x="53" s="1"/>
        <i x="19" s="1"/>
        <i x="77" s="1"/>
        <i x="78" s="1"/>
        <i x="72" s="1"/>
        <i x="60" s="1"/>
        <i x="24" s="1"/>
        <i x="55" s="1"/>
        <i x="64" s="1"/>
        <i x="3" s="1"/>
        <i x="14" s="1"/>
        <i x="34" s="1"/>
        <i x="17" s="1"/>
        <i x="88" s="1"/>
        <i x="49" s="1"/>
        <i x="80" s="1"/>
        <i x="15" s="1"/>
        <i x="16" s="1"/>
        <i x="69" s="1"/>
        <i x="27" s="1"/>
        <i x="11" s="1"/>
        <i x="68" s="1"/>
        <i x="52" s="1"/>
        <i x="12" s="1"/>
        <i x="4" s="1"/>
        <i x="31" s="1"/>
        <i x="20" s="1"/>
        <i x="85" s="1"/>
        <i x="28" s="1"/>
        <i x="33" s="1"/>
        <i x="40" s="1"/>
        <i x="43" s="1"/>
        <i x="76" s="1"/>
        <i x="5" s="1"/>
        <i x="65" s="1"/>
        <i x="8" s="1"/>
        <i x="45" s="1"/>
        <i x="50" s="1"/>
        <i x="10" s="1"/>
        <i x="32" s="1"/>
        <i x="13" s="1"/>
        <i x="9" s="1"/>
        <i x="29" s="1"/>
        <i x="62" s="1"/>
        <i x="38" s="1"/>
        <i x="66" s="1"/>
        <i x="46" s="1"/>
        <i x="48" s="1"/>
        <i x="42" s="1"/>
        <i x="87" s="1"/>
        <i x="0" s="1"/>
        <i x="1" s="1"/>
        <i x="41" s="1"/>
        <i x="54" s="1"/>
        <i x="58" s="1"/>
        <i x="2" s="1"/>
        <i x="47" s="1"/>
        <i x="35" s="1"/>
        <i x="56" s="1"/>
        <i x="7" s="1"/>
        <i x="73" s="1"/>
        <i x="3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name" sourceName="name">
  <pivotTables>
    <pivotTable tabId="3" name="PivotTable1"/>
  </pivotTables>
  <data>
    <tabular pivotCacheId="2">
      <items count="146">
        <i x="18" s="1"/>
        <i x="112" s="1"/>
        <i x="3" s="1"/>
        <i x="132" s="1"/>
        <i x="142" s="1"/>
        <i x="90" s="1"/>
        <i x="136" s="1"/>
        <i x="108" s="1"/>
        <i x="95" s="1"/>
        <i x="54" s="1"/>
        <i x="123" s="1"/>
        <i x="34" s="1"/>
        <i x="46" s="1"/>
        <i x="117" s="1"/>
        <i x="51" s="1"/>
        <i x="67" s="1"/>
        <i x="21" s="1"/>
        <i x="24" s="1"/>
        <i x="11" s="1"/>
        <i x="14" s="1"/>
        <i x="13" s="1"/>
        <i x="111" s="1"/>
        <i x="62" s="1"/>
        <i x="102" s="1"/>
        <i x="15" s="1"/>
        <i x="39" s="1"/>
        <i x="96" s="1"/>
        <i x="87" s="1"/>
        <i x="82" s="1"/>
        <i x="60" s="1"/>
        <i x="119" s="1"/>
        <i x="104" s="1"/>
        <i x="25" s="1"/>
        <i x="50" s="1"/>
        <i x="27" s="1"/>
        <i x="143" s="1"/>
        <i x="137" s="1"/>
        <i x="86" s="1"/>
        <i x="75" s="1"/>
        <i x="110" s="1"/>
        <i x="42" s="1"/>
        <i x="37" s="1"/>
        <i x="33" s="1"/>
        <i x="35" s="1"/>
        <i x="56" s="1"/>
        <i x="101" s="1"/>
        <i x="30" s="1"/>
        <i x="128" s="1"/>
        <i x="53" s="1"/>
        <i x="79" s="1"/>
        <i x="139" s="1"/>
        <i x="59" s="1"/>
        <i x="4" s="1"/>
        <i x="65" s="1"/>
        <i x="107" s="1"/>
        <i x="40" s="1"/>
        <i x="23" s="1"/>
        <i x="43" s="1"/>
        <i x="134" s="1"/>
        <i x="0" s="1"/>
        <i x="61" s="1"/>
        <i x="109" s="1"/>
        <i x="116" s="1"/>
        <i x="63" s="1"/>
        <i x="78" s="1"/>
        <i x="94" s="1"/>
        <i x="115" s="1"/>
        <i x="106" s="1"/>
        <i x="131" s="1"/>
        <i x="98" s="1"/>
        <i x="16" s="1"/>
        <i x="44" s="1"/>
        <i x="76" s="1"/>
        <i x="100" s="1"/>
        <i x="85" s="1"/>
        <i x="114" s="1"/>
        <i x="121" s="1"/>
        <i x="71" s="1"/>
        <i x="99" s="1"/>
        <i x="38" s="1"/>
        <i x="41" s="1"/>
        <i x="88" s="1"/>
        <i x="84" s="1"/>
        <i x="140" s="1"/>
        <i x="125" s="1"/>
        <i x="22" s="1"/>
        <i x="64" s="1"/>
        <i x="92" s="1"/>
        <i x="105" s="1"/>
        <i x="141" s="1"/>
        <i x="118" s="1"/>
        <i x="73" s="1"/>
        <i x="7" s="1"/>
        <i x="32" s="1"/>
        <i x="80" s="1"/>
        <i x="120" s="1"/>
        <i x="8" s="1"/>
        <i x="58" s="1"/>
        <i x="48" s="1"/>
        <i x="97" s="1"/>
        <i x="45" s="1"/>
        <i x="29" s="1"/>
        <i x="127" s="1"/>
        <i x="72" s="1"/>
        <i x="6" s="1"/>
        <i x="52" s="1"/>
        <i x="124" s="1"/>
        <i x="2" s="1"/>
        <i x="26" s="1"/>
        <i x="49" s="1"/>
        <i x="9" s="1"/>
        <i x="122" s="1"/>
        <i x="103" s="1"/>
        <i x="1" s="1"/>
        <i x="70" s="1"/>
        <i x="126" s="1"/>
        <i x="74" s="1"/>
        <i x="135" s="1"/>
        <i x="133" s="1"/>
        <i x="28" s="1"/>
        <i x="66" s="1"/>
        <i x="89" s="1"/>
        <i x="138" s="1"/>
        <i x="130" s="1"/>
        <i x="31" s="1"/>
        <i x="36" s="1"/>
        <i x="17" s="1"/>
        <i x="47" s="1"/>
        <i x="91" s="1"/>
        <i x="129" s="1"/>
        <i x="83" s="1"/>
        <i x="69" s="1"/>
        <i x="12" s="1"/>
        <i x="68" s="1"/>
        <i x="19" s="1"/>
        <i x="5" s="1"/>
        <i x="77" s="1"/>
        <i x="81" s="1"/>
        <i x="93" s="1"/>
        <i x="144" s="1"/>
        <i x="10" s="1"/>
        <i x="55" s="1"/>
        <i x="113" s="1"/>
        <i x="20" s="1"/>
        <i x="57" s="1"/>
        <i x="14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ate1" sourceName="rate">
  <pivotTables>
    <pivotTable tabId="3" name="PivotTable1"/>
  </pivotTables>
  <data>
    <tabular pivotCacheId="2">
      <items count="21">
        <i x="17" s="1"/>
        <i x="12" s="1"/>
        <i x="15" s="1"/>
        <i x="9" s="1"/>
        <i x="8" s="1"/>
        <i x="10" s="1"/>
        <i x="11" s="1"/>
        <i x="19" s="1"/>
        <i x="16" s="1"/>
        <i x="3" s="1"/>
        <i x="2" s="1"/>
        <i x="18" s="1"/>
        <i x="1" s="1"/>
        <i x="7" s="1"/>
        <i x="5" s="1"/>
        <i x="0" s="1"/>
        <i x="6" s="1"/>
        <i x="14" s="1"/>
        <i x="13" s="1"/>
        <i x="4" s="1"/>
        <i x="2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me" cache="Slicer_name" caption="name" rowHeight="241300"/>
  <slicer name="rate 1" cache="Slicer_rate1" caption="rat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ate" cache="Slicer_rate" caption="rate" rowHeight="241300"/>
  <slicer name="votes" cache="Slicer_votes" caption="votes"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New online orders" cache="Slicer_New_online_orders" caption="New online orders" rowHeight="241300"/>
  <slicer name="online_order" cache="Slicer_online_order" caption="online_order"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New online orders 1" cache="Slicer_New_online_orders" caption="New online orders" rowHeight="241300"/>
  <slicer name="online_order 1" cache="Slicer_online_order" caption="online_order" rowHeight="241300"/>
  <slicer name="rate 2" cache="Slicer_rate" caption="rate" rowHeight="241300"/>
  <slicer name="votes 1" cache="Slicer_votes" caption="votes" rowHeight="241300"/>
  <slicer name="name 1" cache="Slicer_name" caption="name" rowHeight="241300"/>
  <slicer name="rate 3" cache="Slicer_rate1" caption="rate" rowHeight="241300"/>
</slicers>
</file>

<file path=xl/tables/table1.xml><?xml version="1.0" encoding="utf-8"?>
<table xmlns="http://schemas.openxmlformats.org/spreadsheetml/2006/main" id="1" name="Table1" displayName="Table1" ref="A1:K149" totalsRowShown="0" headerRowDxfId="4">
  <autoFilter ref="A1:K149"/>
  <tableColumns count="11">
    <tableColumn id="1" name="name"/>
    <tableColumn id="8" name="Restruent name Length" dataDxfId="3">
      <calculatedColumnFormula>LEN(Table1[[#This Row],[name]])</calculatedColumnFormula>
    </tableColumn>
    <tableColumn id="10" name="New online orders" dataDxfId="2">
      <calculatedColumnFormula>IF(Table1[[#This Row],[online_order]]="yes","online","ofline")</calculatedColumnFormula>
    </tableColumn>
    <tableColumn id="2" name="online_order"/>
    <tableColumn id="11" name="booking afflibel" dataDxfId="1">
      <calculatedColumnFormula>IF(Table1[[#This Row],[book_table]]="Yes","Booking Avalibal","Fals")</calculatedColumnFormula>
    </tableColumn>
    <tableColumn id="3" name="book_table"/>
    <tableColumn id="4" name="rate"/>
    <tableColumn id="5" name="votes"/>
    <tableColumn id="9" name="Reating vallue" dataDxfId="0">
      <calculatedColumnFormula>CONCATENATE(Table1[[#This Row],[rate]],"-",Table1[[#This Row],[votes]])</calculatedColumnFormula>
    </tableColumn>
    <tableColumn id="6" name="approx_cost(for two people)"/>
    <tableColumn id="7" name="listed_in(type)"/>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5"/>
  <sheetViews>
    <sheetView workbookViewId="0">
      <selection activeCell="B5" sqref="A3:B25"/>
    </sheetView>
  </sheetViews>
  <sheetFormatPr defaultRowHeight="15" x14ac:dyDescent="0.25"/>
  <cols>
    <col min="1" max="1" width="13.140625" customWidth="1"/>
    <col min="2" max="2" width="14.140625" customWidth="1"/>
    <col min="3" max="3" width="35.140625" bestFit="1" customWidth="1"/>
  </cols>
  <sheetData>
    <row r="3" spans="1:2" x14ac:dyDescent="0.25">
      <c r="A3" s="2" t="s">
        <v>181</v>
      </c>
      <c r="B3" t="s">
        <v>184</v>
      </c>
    </row>
    <row r="4" spans="1:2" x14ac:dyDescent="0.25">
      <c r="A4" s="3" t="s">
        <v>123</v>
      </c>
      <c r="B4" s="4">
        <v>1</v>
      </c>
    </row>
    <row r="5" spans="1:2" x14ac:dyDescent="0.25">
      <c r="A5" s="3" t="s">
        <v>55</v>
      </c>
      <c r="B5" s="4">
        <v>2</v>
      </c>
    </row>
    <row r="6" spans="1:2" x14ac:dyDescent="0.25">
      <c r="A6" s="3" t="s">
        <v>100</v>
      </c>
      <c r="B6" s="4">
        <v>7</v>
      </c>
    </row>
    <row r="7" spans="1:2" x14ac:dyDescent="0.25">
      <c r="A7" s="3" t="s">
        <v>41</v>
      </c>
      <c r="B7" s="4">
        <v>2</v>
      </c>
    </row>
    <row r="8" spans="1:2" x14ac:dyDescent="0.25">
      <c r="A8" s="3" t="s">
        <v>39</v>
      </c>
      <c r="B8" s="4">
        <v>7</v>
      </c>
    </row>
    <row r="9" spans="1:2" x14ac:dyDescent="0.25">
      <c r="A9" s="3" t="s">
        <v>47</v>
      </c>
      <c r="B9" s="4">
        <v>7</v>
      </c>
    </row>
    <row r="10" spans="1:2" x14ac:dyDescent="0.25">
      <c r="A10" s="3" t="s">
        <v>50</v>
      </c>
      <c r="B10" s="4">
        <v>14</v>
      </c>
    </row>
    <row r="11" spans="1:2" x14ac:dyDescent="0.25">
      <c r="A11" s="3" t="s">
        <v>136</v>
      </c>
      <c r="B11" s="4">
        <v>12</v>
      </c>
    </row>
    <row r="12" spans="1:2" x14ac:dyDescent="0.25">
      <c r="A12" s="3" t="s">
        <v>110</v>
      </c>
      <c r="B12" s="4">
        <v>6</v>
      </c>
    </row>
    <row r="13" spans="1:2" x14ac:dyDescent="0.25">
      <c r="A13" s="3" t="s">
        <v>20</v>
      </c>
      <c r="B13" s="4">
        <v>11</v>
      </c>
    </row>
    <row r="14" spans="1:2" x14ac:dyDescent="0.25">
      <c r="A14" s="3" t="s">
        <v>16</v>
      </c>
      <c r="B14" s="4">
        <v>15</v>
      </c>
    </row>
    <row r="15" spans="1:2" x14ac:dyDescent="0.25">
      <c r="A15" s="3" t="s">
        <v>133</v>
      </c>
      <c r="B15" s="4">
        <v>1</v>
      </c>
    </row>
    <row r="16" spans="1:2" x14ac:dyDescent="0.25">
      <c r="A16" s="3" t="s">
        <v>14</v>
      </c>
      <c r="B16" s="4">
        <v>19</v>
      </c>
    </row>
    <row r="17" spans="1:2" x14ac:dyDescent="0.25">
      <c r="A17" s="3" t="s">
        <v>35</v>
      </c>
      <c r="B17" s="4">
        <v>10</v>
      </c>
    </row>
    <row r="18" spans="1:2" x14ac:dyDescent="0.25">
      <c r="A18" s="3" t="s">
        <v>25</v>
      </c>
      <c r="B18" s="4">
        <v>10</v>
      </c>
    </row>
    <row r="19" spans="1:2" x14ac:dyDescent="0.25">
      <c r="A19" s="3" t="s">
        <v>9</v>
      </c>
      <c r="B19" s="4">
        <v>11</v>
      </c>
    </row>
    <row r="20" spans="1:2" x14ac:dyDescent="0.25">
      <c r="A20" s="3" t="s">
        <v>28</v>
      </c>
      <c r="B20" s="4">
        <v>8</v>
      </c>
    </row>
    <row r="21" spans="1:2" x14ac:dyDescent="0.25">
      <c r="A21" s="3" t="s">
        <v>78</v>
      </c>
      <c r="B21" s="4">
        <v>1</v>
      </c>
    </row>
    <row r="22" spans="1:2" x14ac:dyDescent="0.25">
      <c r="A22" s="3" t="s">
        <v>64</v>
      </c>
      <c r="B22" s="4">
        <v>2</v>
      </c>
    </row>
    <row r="23" spans="1:2" x14ac:dyDescent="0.25">
      <c r="A23" s="3" t="s">
        <v>22</v>
      </c>
      <c r="B23" s="4">
        <v>2</v>
      </c>
    </row>
    <row r="24" spans="1:2" x14ac:dyDescent="0.25">
      <c r="A24" s="3" t="s">
        <v>182</v>
      </c>
      <c r="B24" s="4"/>
    </row>
    <row r="25" spans="1:2" x14ac:dyDescent="0.25">
      <c r="A25" s="3" t="s">
        <v>183</v>
      </c>
      <c r="B25" s="4">
        <v>148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workbookViewId="0">
      <selection activeCell="B6" sqref="B6"/>
    </sheetView>
  </sheetViews>
  <sheetFormatPr defaultRowHeight="15" x14ac:dyDescent="0.25"/>
  <cols>
    <col min="1" max="1" width="13.140625" bestFit="1" customWidth="1"/>
    <col min="2" max="2" width="12.42578125" bestFit="1" customWidth="1"/>
  </cols>
  <sheetData>
    <row r="3" spans="1:2" x14ac:dyDescent="0.25">
      <c r="A3" s="2" t="s">
        <v>181</v>
      </c>
      <c r="B3" t="s">
        <v>189</v>
      </c>
    </row>
    <row r="4" spans="1:2" x14ac:dyDescent="0.25">
      <c r="A4" s="3" t="s">
        <v>123</v>
      </c>
      <c r="B4" s="4">
        <v>283</v>
      </c>
    </row>
    <row r="5" spans="1:2" x14ac:dyDescent="0.25">
      <c r="A5" s="3" t="s">
        <v>55</v>
      </c>
      <c r="B5" s="4">
        <v>597</v>
      </c>
    </row>
    <row r="6" spans="1:2" x14ac:dyDescent="0.25">
      <c r="A6" s="3" t="s">
        <v>100</v>
      </c>
      <c r="B6" s="4">
        <v>109</v>
      </c>
    </row>
    <row r="7" spans="1:2" x14ac:dyDescent="0.25">
      <c r="A7" s="3" t="s">
        <v>41</v>
      </c>
      <c r="B7" s="4">
        <v>160</v>
      </c>
    </row>
    <row r="8" spans="1:2" x14ac:dyDescent="0.25">
      <c r="A8" s="3" t="s">
        <v>39</v>
      </c>
      <c r="B8" s="4">
        <v>323</v>
      </c>
    </row>
    <row r="9" spans="1:2" x14ac:dyDescent="0.25">
      <c r="A9" s="3" t="s">
        <v>47</v>
      </c>
      <c r="B9" s="4">
        <v>115</v>
      </c>
    </row>
    <row r="10" spans="1:2" x14ac:dyDescent="0.25">
      <c r="A10" s="3" t="s">
        <v>50</v>
      </c>
      <c r="B10" s="4">
        <v>121</v>
      </c>
    </row>
    <row r="11" spans="1:2" x14ac:dyDescent="0.25">
      <c r="A11" s="3" t="s">
        <v>136</v>
      </c>
      <c r="B11" s="4">
        <v>16</v>
      </c>
    </row>
    <row r="12" spans="1:2" x14ac:dyDescent="0.25">
      <c r="A12" s="3" t="s">
        <v>110</v>
      </c>
      <c r="B12" s="4">
        <v>127</v>
      </c>
    </row>
    <row r="13" spans="1:2" x14ac:dyDescent="0.25">
      <c r="A13" s="3" t="s">
        <v>20</v>
      </c>
      <c r="B13" s="4">
        <v>927</v>
      </c>
    </row>
    <row r="14" spans="1:2" x14ac:dyDescent="0.25">
      <c r="A14" s="3" t="s">
        <v>16</v>
      </c>
      <c r="B14" s="4">
        <v>1371</v>
      </c>
    </row>
    <row r="15" spans="1:2" x14ac:dyDescent="0.25">
      <c r="A15" s="3" t="s">
        <v>133</v>
      </c>
      <c r="B15" s="4">
        <v>45</v>
      </c>
    </row>
    <row r="16" spans="1:2" x14ac:dyDescent="0.25">
      <c r="A16" s="3" t="s">
        <v>14</v>
      </c>
      <c r="B16" s="4">
        <v>3484</v>
      </c>
    </row>
    <row r="17" spans="1:2" x14ac:dyDescent="0.25">
      <c r="A17" s="3" t="s">
        <v>35</v>
      </c>
      <c r="B17" s="4">
        <v>2191</v>
      </c>
    </row>
    <row r="18" spans="1:2" x14ac:dyDescent="0.25">
      <c r="A18" s="3" t="s">
        <v>25</v>
      </c>
      <c r="B18" s="4">
        <v>5098</v>
      </c>
    </row>
    <row r="19" spans="1:2" x14ac:dyDescent="0.25">
      <c r="A19" s="3" t="s">
        <v>9</v>
      </c>
      <c r="B19" s="4">
        <v>5859</v>
      </c>
    </row>
    <row r="20" spans="1:2" x14ac:dyDescent="0.25">
      <c r="A20" s="3" t="s">
        <v>28</v>
      </c>
      <c r="B20" s="4">
        <v>3624</v>
      </c>
    </row>
    <row r="21" spans="1:2" x14ac:dyDescent="0.25">
      <c r="A21" s="3" t="s">
        <v>78</v>
      </c>
      <c r="B21" s="4">
        <v>345</v>
      </c>
    </row>
    <row r="22" spans="1:2" x14ac:dyDescent="0.25">
      <c r="A22" s="3" t="s">
        <v>64</v>
      </c>
      <c r="B22" s="4">
        <v>9285</v>
      </c>
    </row>
    <row r="23" spans="1:2" x14ac:dyDescent="0.25">
      <c r="A23" s="3" t="s">
        <v>22</v>
      </c>
      <c r="B23" s="4">
        <v>5112</v>
      </c>
    </row>
    <row r="24" spans="1:2" x14ac:dyDescent="0.25">
      <c r="A24" s="3" t="s">
        <v>183</v>
      </c>
      <c r="B24" s="4">
        <v>39192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4" sqref="A3:B6"/>
    </sheetView>
  </sheetViews>
  <sheetFormatPr defaultRowHeight="15" x14ac:dyDescent="0.25"/>
  <cols>
    <col min="1" max="1" width="13.140625" bestFit="1" customWidth="1"/>
    <col min="2" max="2" width="20.85546875" bestFit="1" customWidth="1"/>
  </cols>
  <sheetData>
    <row r="3" spans="1:2" x14ac:dyDescent="0.25">
      <c r="A3" s="2" t="s">
        <v>181</v>
      </c>
      <c r="B3" t="s">
        <v>192</v>
      </c>
    </row>
    <row r="4" spans="1:2" x14ac:dyDescent="0.25">
      <c r="A4" s="3" t="s">
        <v>190</v>
      </c>
      <c r="B4" s="4">
        <v>90</v>
      </c>
    </row>
    <row r="5" spans="1:2" x14ac:dyDescent="0.25">
      <c r="A5" s="3" t="s">
        <v>191</v>
      </c>
      <c r="B5" s="4">
        <v>58</v>
      </c>
    </row>
    <row r="6" spans="1:2" x14ac:dyDescent="0.25">
      <c r="A6" s="3" t="s">
        <v>183</v>
      </c>
      <c r="B6" s="4">
        <v>148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5" x14ac:dyDescent="0.25"/>
  <cols>
    <col min="1" max="1" width="13.140625" customWidth="1"/>
    <col min="2" max="2" width="20.85546875" bestFit="1" customWidth="1"/>
  </cols>
  <sheetData>
    <row r="3" spans="1:3" x14ac:dyDescent="0.25">
      <c r="A3" s="5"/>
      <c r="B3" s="6"/>
      <c r="C3" s="7"/>
    </row>
    <row r="4" spans="1:3" x14ac:dyDescent="0.25">
      <c r="A4" s="8"/>
      <c r="B4" s="9"/>
      <c r="C4" s="10"/>
    </row>
    <row r="5" spans="1:3" x14ac:dyDescent="0.25">
      <c r="A5" s="8"/>
      <c r="B5" s="9"/>
      <c r="C5" s="10"/>
    </row>
    <row r="6" spans="1:3" x14ac:dyDescent="0.25">
      <c r="A6" s="8"/>
      <c r="B6" s="9"/>
      <c r="C6" s="10"/>
    </row>
    <row r="7" spans="1:3" x14ac:dyDescent="0.25">
      <c r="A7" s="8"/>
      <c r="B7" s="9"/>
      <c r="C7" s="10"/>
    </row>
    <row r="8" spans="1:3" x14ac:dyDescent="0.25">
      <c r="A8" s="8"/>
      <c r="B8" s="9"/>
      <c r="C8" s="10"/>
    </row>
    <row r="9" spans="1:3" x14ac:dyDescent="0.25">
      <c r="A9" s="8"/>
      <c r="B9" s="9"/>
      <c r="C9" s="10"/>
    </row>
    <row r="10" spans="1:3" x14ac:dyDescent="0.25">
      <c r="A10" s="8"/>
      <c r="B10" s="9"/>
      <c r="C10" s="10"/>
    </row>
    <row r="11" spans="1:3" x14ac:dyDescent="0.25">
      <c r="A11" s="8"/>
      <c r="B11" s="9"/>
      <c r="C11" s="10"/>
    </row>
    <row r="12" spans="1:3" x14ac:dyDescent="0.25">
      <c r="A12" s="8"/>
      <c r="B12" s="9"/>
      <c r="C12" s="10"/>
    </row>
    <row r="13" spans="1:3" x14ac:dyDescent="0.25">
      <c r="A13" s="8"/>
      <c r="B13" s="9"/>
      <c r="C13" s="10"/>
    </row>
    <row r="14" spans="1:3" x14ac:dyDescent="0.25">
      <c r="A14" s="8"/>
      <c r="B14" s="9"/>
      <c r="C14" s="10"/>
    </row>
    <row r="15" spans="1:3" x14ac:dyDescent="0.25">
      <c r="A15" s="8"/>
      <c r="B15" s="9"/>
      <c r="C15" s="10"/>
    </row>
    <row r="16" spans="1:3" x14ac:dyDescent="0.25">
      <c r="A16" s="8"/>
      <c r="B16" s="9"/>
      <c r="C16" s="10"/>
    </row>
    <row r="17" spans="1:3" x14ac:dyDescent="0.25">
      <c r="A17" s="8"/>
      <c r="B17" s="9"/>
      <c r="C17" s="10"/>
    </row>
    <row r="18" spans="1:3" x14ac:dyDescent="0.25">
      <c r="A18" s="8"/>
      <c r="B18" s="9"/>
      <c r="C18" s="10"/>
    </row>
    <row r="19" spans="1:3" x14ac:dyDescent="0.25">
      <c r="A19" s="8"/>
      <c r="B19" s="9"/>
      <c r="C19" s="10"/>
    </row>
    <row r="20" spans="1:3" x14ac:dyDescent="0.25">
      <c r="A20" s="11"/>
      <c r="B20" s="12"/>
      <c r="C20"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A11" sqref="A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9"/>
  <sheetViews>
    <sheetView topLeftCell="A2" workbookViewId="0">
      <selection activeCell="B16" sqref="A2:K149"/>
    </sheetView>
  </sheetViews>
  <sheetFormatPr defaultRowHeight="15" x14ac:dyDescent="0.25"/>
  <cols>
    <col min="1" max="3" width="42" customWidth="1"/>
    <col min="4" max="4" width="14.7109375" customWidth="1"/>
    <col min="5" max="5" width="19.5703125" customWidth="1"/>
    <col min="6" max="6" width="13.140625" customWidth="1"/>
    <col min="9" max="9" width="16.85546875" customWidth="1"/>
    <col min="10" max="10" width="28.7109375" customWidth="1"/>
    <col min="11" max="11" width="16.28515625" customWidth="1"/>
  </cols>
  <sheetData>
    <row r="1" spans="1:11" x14ac:dyDescent="0.25">
      <c r="A1" s="1" t="s">
        <v>0</v>
      </c>
      <c r="B1" s="1" t="s">
        <v>185</v>
      </c>
      <c r="C1" s="1" t="s">
        <v>187</v>
      </c>
      <c r="D1" s="1" t="s">
        <v>1</v>
      </c>
      <c r="E1" s="1" t="s">
        <v>188</v>
      </c>
      <c r="F1" s="1" t="s">
        <v>2</v>
      </c>
      <c r="G1" s="1" t="s">
        <v>3</v>
      </c>
      <c r="H1" s="1" t="s">
        <v>4</v>
      </c>
      <c r="I1" s="1" t="s">
        <v>186</v>
      </c>
      <c r="J1" s="1" t="s">
        <v>5</v>
      </c>
      <c r="K1" s="1" t="s">
        <v>6</v>
      </c>
    </row>
    <row r="2" spans="1:11" x14ac:dyDescent="0.25">
      <c r="A2" t="s">
        <v>7</v>
      </c>
      <c r="B2">
        <f>LEN(Table1[[#This Row],[name]])</f>
        <v>5</v>
      </c>
      <c r="C2" t="str">
        <f>IF(Table1[[#This Row],[online_order]]="yes","online","ofline")</f>
        <v>online</v>
      </c>
      <c r="D2" t="s">
        <v>8</v>
      </c>
      <c r="E2" t="str">
        <f>IF(Table1[[#This Row],[book_table]]="Yes","Booking Avalibal","Fals")</f>
        <v>Booking Avalibal</v>
      </c>
      <c r="F2" t="s">
        <v>8</v>
      </c>
      <c r="G2" t="s">
        <v>9</v>
      </c>
      <c r="H2">
        <v>775</v>
      </c>
      <c r="I2" t="str">
        <f>CONCATENATE(Table1[[#This Row],[rate]],"-",Table1[[#This Row],[votes]])</f>
        <v>4.1/5-775</v>
      </c>
      <c r="J2">
        <v>800</v>
      </c>
      <c r="K2" t="s">
        <v>10</v>
      </c>
    </row>
    <row r="3" spans="1:11" x14ac:dyDescent="0.25">
      <c r="A3" t="s">
        <v>11</v>
      </c>
      <c r="B3">
        <f>LEN(Table1[[#This Row],[name]])</f>
        <v>14</v>
      </c>
      <c r="C3" t="str">
        <f>IF(Table1[[#This Row],[online_order]]="yes","online","ofline")</f>
        <v>online</v>
      </c>
      <c r="D3" t="s">
        <v>8</v>
      </c>
      <c r="E3" t="str">
        <f>IF(Table1[[#This Row],[book_table]]="Yes","Booking Avalibal","Fals")</f>
        <v>Fals</v>
      </c>
      <c r="F3" t="s">
        <v>12</v>
      </c>
      <c r="G3" t="s">
        <v>9</v>
      </c>
      <c r="H3">
        <v>787</v>
      </c>
      <c r="I3" t="str">
        <f>CONCATENATE(Table1[[#This Row],[rate]],"-",Table1[[#This Row],[votes]])</f>
        <v>4.1/5-787</v>
      </c>
      <c r="J3">
        <v>800</v>
      </c>
      <c r="K3" t="s">
        <v>10</v>
      </c>
    </row>
    <row r="4" spans="1:11" x14ac:dyDescent="0.25">
      <c r="A4" t="s">
        <v>13</v>
      </c>
      <c r="B4">
        <f>LEN(Table1[[#This Row],[name]])</f>
        <v>15</v>
      </c>
      <c r="C4" t="str">
        <f>IF(Table1[[#This Row],[online_order]]="yes","online","ofline")</f>
        <v>online</v>
      </c>
      <c r="D4" t="s">
        <v>8</v>
      </c>
      <c r="E4" t="str">
        <f>IF(Table1[[#This Row],[book_table]]="Yes","Booking Avalibal","Fals")</f>
        <v>Fals</v>
      </c>
      <c r="F4" t="s">
        <v>12</v>
      </c>
      <c r="G4" t="s">
        <v>14</v>
      </c>
      <c r="H4">
        <v>918</v>
      </c>
      <c r="I4" t="str">
        <f>CONCATENATE(Table1[[#This Row],[rate]],"-",Table1[[#This Row],[votes]])</f>
        <v>3.8/5-918</v>
      </c>
      <c r="J4">
        <v>800</v>
      </c>
      <c r="K4" t="s">
        <v>10</v>
      </c>
    </row>
    <row r="5" spans="1:11" x14ac:dyDescent="0.25">
      <c r="A5" t="s">
        <v>15</v>
      </c>
      <c r="B5">
        <f>LEN(Table1[[#This Row],[name]])</f>
        <v>21</v>
      </c>
      <c r="C5" t="str">
        <f>IF(Table1[[#This Row],[online_order]]="yes","online","ofline")</f>
        <v>ofline</v>
      </c>
      <c r="D5" t="s">
        <v>12</v>
      </c>
      <c r="E5" t="str">
        <f>IF(Table1[[#This Row],[book_table]]="Yes","Booking Avalibal","Fals")</f>
        <v>Fals</v>
      </c>
      <c r="F5" t="s">
        <v>12</v>
      </c>
      <c r="G5" t="s">
        <v>16</v>
      </c>
      <c r="H5">
        <v>88</v>
      </c>
      <c r="I5" t="str">
        <f>CONCATENATE(Table1[[#This Row],[rate]],"-",Table1[[#This Row],[votes]])</f>
        <v>3.7/5-88</v>
      </c>
      <c r="J5">
        <v>300</v>
      </c>
      <c r="K5" t="s">
        <v>10</v>
      </c>
    </row>
    <row r="6" spans="1:11" x14ac:dyDescent="0.25">
      <c r="A6" t="s">
        <v>17</v>
      </c>
      <c r="B6">
        <f>LEN(Table1[[#This Row],[name]])</f>
        <v>13</v>
      </c>
      <c r="C6" t="str">
        <f>IF(Table1[[#This Row],[online_order]]="yes","online","ofline")</f>
        <v>ofline</v>
      </c>
      <c r="D6" t="s">
        <v>12</v>
      </c>
      <c r="E6" t="str">
        <f>IF(Table1[[#This Row],[book_table]]="Yes","Booking Avalibal","Fals")</f>
        <v>Fals</v>
      </c>
      <c r="F6" t="s">
        <v>12</v>
      </c>
      <c r="G6" t="s">
        <v>14</v>
      </c>
      <c r="H6">
        <v>166</v>
      </c>
      <c r="I6" t="str">
        <f>CONCATENATE(Table1[[#This Row],[rate]],"-",Table1[[#This Row],[votes]])</f>
        <v>3.8/5-166</v>
      </c>
      <c r="J6">
        <v>600</v>
      </c>
      <c r="K6" t="s">
        <v>10</v>
      </c>
    </row>
    <row r="7" spans="1:11" x14ac:dyDescent="0.25">
      <c r="A7" t="s">
        <v>18</v>
      </c>
      <c r="B7">
        <f>LEN(Table1[[#This Row],[name]])</f>
        <v>15</v>
      </c>
      <c r="C7" t="str">
        <f>IF(Table1[[#This Row],[online_order]]="yes","online","ofline")</f>
        <v>online</v>
      </c>
      <c r="D7" t="s">
        <v>8</v>
      </c>
      <c r="E7" t="str">
        <f>IF(Table1[[#This Row],[book_table]]="Yes","Booking Avalibal","Fals")</f>
        <v>Fals</v>
      </c>
      <c r="F7" t="s">
        <v>12</v>
      </c>
      <c r="G7" t="s">
        <v>14</v>
      </c>
      <c r="H7">
        <v>286</v>
      </c>
      <c r="I7" t="str">
        <f>CONCATENATE(Table1[[#This Row],[rate]],"-",Table1[[#This Row],[votes]])</f>
        <v>3.8/5-286</v>
      </c>
      <c r="J7">
        <v>600</v>
      </c>
      <c r="K7" t="s">
        <v>10</v>
      </c>
    </row>
    <row r="8" spans="1:11" x14ac:dyDescent="0.25">
      <c r="A8" t="s">
        <v>19</v>
      </c>
      <c r="B8">
        <f>LEN(Table1[[#This Row],[name]])</f>
        <v>47</v>
      </c>
      <c r="C8" t="str">
        <f>IF(Table1[[#This Row],[online_order]]="yes","online","ofline")</f>
        <v>ofline</v>
      </c>
      <c r="D8" t="s">
        <v>12</v>
      </c>
      <c r="E8" t="str">
        <f>IF(Table1[[#This Row],[book_table]]="Yes","Booking Avalibal","Fals")</f>
        <v>Fals</v>
      </c>
      <c r="F8" t="s">
        <v>12</v>
      </c>
      <c r="G8" t="s">
        <v>20</v>
      </c>
      <c r="H8">
        <v>8</v>
      </c>
      <c r="I8" t="str">
        <f>CONCATENATE(Table1[[#This Row],[rate]],"-",Table1[[#This Row],[votes]])</f>
        <v>3.6/5-8</v>
      </c>
      <c r="J8">
        <v>800</v>
      </c>
      <c r="K8" t="s">
        <v>10</v>
      </c>
    </row>
    <row r="9" spans="1:11" x14ac:dyDescent="0.25">
      <c r="A9" t="s">
        <v>21</v>
      </c>
      <c r="B9">
        <f>LEN(Table1[[#This Row],[name]])</f>
        <v>6</v>
      </c>
      <c r="C9" t="str">
        <f>IF(Table1[[#This Row],[online_order]]="yes","online","ofline")</f>
        <v>online</v>
      </c>
      <c r="D9" t="s">
        <v>8</v>
      </c>
      <c r="E9" t="str">
        <f>IF(Table1[[#This Row],[book_table]]="Yes","Booking Avalibal","Fals")</f>
        <v>Booking Avalibal</v>
      </c>
      <c r="F9" t="s">
        <v>8</v>
      </c>
      <c r="G9" t="s">
        <v>22</v>
      </c>
      <c r="H9">
        <v>2556</v>
      </c>
      <c r="I9" t="str">
        <f>CONCATENATE(Table1[[#This Row],[rate]],"-",Table1[[#This Row],[votes]])</f>
        <v>4.6/5-2556</v>
      </c>
      <c r="J9">
        <v>600</v>
      </c>
      <c r="K9" t="s">
        <v>23</v>
      </c>
    </row>
    <row r="10" spans="1:11" x14ac:dyDescent="0.25">
      <c r="A10" t="s">
        <v>24</v>
      </c>
      <c r="B10">
        <f>LEN(Table1[[#This Row],[name]])</f>
        <v>14</v>
      </c>
      <c r="C10" t="str">
        <f>IF(Table1[[#This Row],[online_order]]="yes","online","ofline")</f>
        <v>online</v>
      </c>
      <c r="D10" t="s">
        <v>8</v>
      </c>
      <c r="E10" t="str">
        <f>IF(Table1[[#This Row],[book_table]]="Yes","Booking Avalibal","Fals")</f>
        <v>Fals</v>
      </c>
      <c r="F10" t="s">
        <v>12</v>
      </c>
      <c r="G10" t="s">
        <v>25</v>
      </c>
      <c r="H10">
        <v>324</v>
      </c>
      <c r="I10" t="str">
        <f>CONCATENATE(Table1[[#This Row],[rate]],"-",Table1[[#This Row],[votes]])</f>
        <v>4.0/5-324</v>
      </c>
      <c r="J10">
        <v>700</v>
      </c>
      <c r="K10" t="s">
        <v>26</v>
      </c>
    </row>
    <row r="11" spans="1:11" x14ac:dyDescent="0.25">
      <c r="A11" t="s">
        <v>27</v>
      </c>
      <c r="B11">
        <f>LEN(Table1[[#This Row],[name]])</f>
        <v>9</v>
      </c>
      <c r="C11" t="str">
        <f>IF(Table1[[#This Row],[online_order]]="yes","online","ofline")</f>
        <v>online</v>
      </c>
      <c r="D11" t="s">
        <v>8</v>
      </c>
      <c r="E11" t="str">
        <f>IF(Table1[[#This Row],[book_table]]="Yes","Booking Avalibal","Fals")</f>
        <v>Fals</v>
      </c>
      <c r="F11" t="s">
        <v>12</v>
      </c>
      <c r="G11" t="s">
        <v>28</v>
      </c>
      <c r="H11">
        <v>504</v>
      </c>
      <c r="I11" t="str">
        <f>CONCATENATE(Table1[[#This Row],[rate]],"-",Table1[[#This Row],[votes]])</f>
        <v>4.2/5-504</v>
      </c>
      <c r="J11">
        <v>550</v>
      </c>
      <c r="K11" t="s">
        <v>23</v>
      </c>
    </row>
    <row r="12" spans="1:11" x14ac:dyDescent="0.25">
      <c r="A12" t="s">
        <v>29</v>
      </c>
      <c r="B12">
        <f>LEN(Table1[[#This Row],[name]])</f>
        <v>13</v>
      </c>
      <c r="C12" t="str">
        <f>IF(Table1[[#This Row],[online_order]]="yes","online","ofline")</f>
        <v>online</v>
      </c>
      <c r="D12" t="s">
        <v>8</v>
      </c>
      <c r="E12" t="str">
        <f>IF(Table1[[#This Row],[book_table]]="Yes","Booking Avalibal","Fals")</f>
        <v>Fals</v>
      </c>
      <c r="F12" t="s">
        <v>12</v>
      </c>
      <c r="G12" t="s">
        <v>9</v>
      </c>
      <c r="H12">
        <v>402</v>
      </c>
      <c r="I12" t="str">
        <f>CONCATENATE(Table1[[#This Row],[rate]],"-",Table1[[#This Row],[votes]])</f>
        <v>4.1/5-402</v>
      </c>
      <c r="J12">
        <v>500</v>
      </c>
      <c r="K12" t="s">
        <v>23</v>
      </c>
    </row>
    <row r="13" spans="1:11" x14ac:dyDescent="0.25">
      <c r="A13" t="s">
        <v>30</v>
      </c>
      <c r="B13">
        <f>LEN(Table1[[#This Row],[name]])</f>
        <v>12</v>
      </c>
      <c r="C13" t="str">
        <f>IF(Table1[[#This Row],[online_order]]="yes","online","ofline")</f>
        <v>online</v>
      </c>
      <c r="D13" t="s">
        <v>8</v>
      </c>
      <c r="E13" t="str">
        <f>IF(Table1[[#This Row],[book_table]]="Yes","Booking Avalibal","Fals")</f>
        <v>Booking Avalibal</v>
      </c>
      <c r="F13" t="s">
        <v>8</v>
      </c>
      <c r="G13" t="s">
        <v>28</v>
      </c>
      <c r="H13">
        <v>150</v>
      </c>
      <c r="I13" t="str">
        <f>CONCATENATE(Table1[[#This Row],[rate]],"-",Table1[[#This Row],[votes]])</f>
        <v>4.2/5-150</v>
      </c>
      <c r="J13">
        <v>600</v>
      </c>
      <c r="K13" t="s">
        <v>23</v>
      </c>
    </row>
    <row r="14" spans="1:11" x14ac:dyDescent="0.25">
      <c r="A14" t="s">
        <v>31</v>
      </c>
      <c r="B14">
        <f>LEN(Table1[[#This Row],[name]])</f>
        <v>16</v>
      </c>
      <c r="C14" t="str">
        <f>IF(Table1[[#This Row],[online_order]]="yes","online","ofline")</f>
        <v>online</v>
      </c>
      <c r="D14" t="s">
        <v>8</v>
      </c>
      <c r="E14" t="str">
        <f>IF(Table1[[#This Row],[book_table]]="Yes","Booking Avalibal","Fals")</f>
        <v>Booking Avalibal</v>
      </c>
      <c r="F14" t="s">
        <v>8</v>
      </c>
      <c r="G14" t="s">
        <v>28</v>
      </c>
      <c r="H14">
        <v>164</v>
      </c>
      <c r="I14" t="str">
        <f>CONCATENATE(Table1[[#This Row],[rate]],"-",Table1[[#This Row],[votes]])</f>
        <v>4.2/5-164</v>
      </c>
      <c r="J14">
        <v>500</v>
      </c>
      <c r="K14" t="s">
        <v>23</v>
      </c>
    </row>
    <row r="15" spans="1:11" x14ac:dyDescent="0.25">
      <c r="A15" t="s">
        <v>32</v>
      </c>
      <c r="B15">
        <f>LEN(Table1[[#This Row],[name]])</f>
        <v>10</v>
      </c>
      <c r="C15" t="str">
        <f>IF(Table1[[#This Row],[online_order]]="yes","online","ofline")</f>
        <v>ofline</v>
      </c>
      <c r="D15" t="s">
        <v>12</v>
      </c>
      <c r="E15" t="str">
        <f>IF(Table1[[#This Row],[book_table]]="Yes","Booking Avalibal","Fals")</f>
        <v>Fals</v>
      </c>
      <c r="F15" t="s">
        <v>12</v>
      </c>
      <c r="G15" t="s">
        <v>25</v>
      </c>
      <c r="H15">
        <v>424</v>
      </c>
      <c r="I15" t="str">
        <f>CONCATENATE(Table1[[#This Row],[rate]],"-",Table1[[#This Row],[votes]])</f>
        <v>4.0/5-424</v>
      </c>
      <c r="J15">
        <v>450</v>
      </c>
      <c r="K15" t="s">
        <v>23</v>
      </c>
    </row>
    <row r="16" spans="1:11" x14ac:dyDescent="0.25">
      <c r="A16" t="s">
        <v>13</v>
      </c>
      <c r="B16">
        <f>LEN(Table1[[#This Row],[name]])</f>
        <v>15</v>
      </c>
      <c r="C16" t="str">
        <f>IF(Table1[[#This Row],[online_order]]="yes","online","ofline")</f>
        <v>online</v>
      </c>
      <c r="D16" t="s">
        <v>8</v>
      </c>
      <c r="E16" t="str">
        <f>IF(Table1[[#This Row],[book_table]]="Yes","Booking Avalibal","Fals")</f>
        <v>Fals</v>
      </c>
      <c r="F16" t="s">
        <v>12</v>
      </c>
      <c r="G16" t="s">
        <v>14</v>
      </c>
      <c r="H16">
        <v>918</v>
      </c>
      <c r="I16" t="str">
        <f>CONCATENATE(Table1[[#This Row],[rate]],"-",Table1[[#This Row],[votes]])</f>
        <v>3.8/5-918</v>
      </c>
      <c r="J16">
        <v>800</v>
      </c>
      <c r="K16" t="s">
        <v>23</v>
      </c>
    </row>
    <row r="17" spans="1:11" x14ac:dyDescent="0.25">
      <c r="A17" t="s">
        <v>33</v>
      </c>
      <c r="B17">
        <f>LEN(Table1[[#This Row],[name]])</f>
        <v>13</v>
      </c>
      <c r="C17" t="str">
        <f>IF(Table1[[#This Row],[online_order]]="yes","online","ofline")</f>
        <v>online</v>
      </c>
      <c r="D17" t="s">
        <v>8</v>
      </c>
      <c r="E17" t="str">
        <f>IF(Table1[[#This Row],[book_table]]="Yes","Booking Avalibal","Fals")</f>
        <v>Fals</v>
      </c>
      <c r="F17" t="s">
        <v>12</v>
      </c>
      <c r="G17" t="s">
        <v>14</v>
      </c>
      <c r="H17">
        <v>90</v>
      </c>
      <c r="I17" t="str">
        <f>CONCATENATE(Table1[[#This Row],[rate]],"-",Table1[[#This Row],[votes]])</f>
        <v>3.8/5-90</v>
      </c>
      <c r="J17">
        <v>650</v>
      </c>
      <c r="K17" t="s">
        <v>23</v>
      </c>
    </row>
    <row r="18" spans="1:11" x14ac:dyDescent="0.25">
      <c r="A18" t="s">
        <v>34</v>
      </c>
      <c r="B18">
        <f>LEN(Table1[[#This Row],[name]])</f>
        <v>12</v>
      </c>
      <c r="C18" t="str">
        <f>IF(Table1[[#This Row],[online_order]]="yes","online","ofline")</f>
        <v>online</v>
      </c>
      <c r="D18" t="s">
        <v>8</v>
      </c>
      <c r="E18" t="str">
        <f>IF(Table1[[#This Row],[book_table]]="Yes","Booking Avalibal","Fals")</f>
        <v>Fals</v>
      </c>
      <c r="F18" t="s">
        <v>12</v>
      </c>
      <c r="G18" t="s">
        <v>35</v>
      </c>
      <c r="H18">
        <v>133</v>
      </c>
      <c r="I18" t="str">
        <f>CONCATENATE(Table1[[#This Row],[rate]],"-",Table1[[#This Row],[votes]])</f>
        <v>3.9/5-133</v>
      </c>
      <c r="J18">
        <v>800</v>
      </c>
      <c r="K18" t="s">
        <v>23</v>
      </c>
    </row>
    <row r="19" spans="1:11" x14ac:dyDescent="0.25">
      <c r="A19" t="s">
        <v>36</v>
      </c>
      <c r="B19">
        <f>LEN(Table1[[#This Row],[name]])</f>
        <v>16</v>
      </c>
      <c r="C19" t="str">
        <f>IF(Table1[[#This Row],[online_order]]="yes","online","ofline")</f>
        <v>online</v>
      </c>
      <c r="D19" t="s">
        <v>8</v>
      </c>
      <c r="E19" t="str">
        <f>IF(Table1[[#This Row],[book_table]]="Yes","Booking Avalibal","Fals")</f>
        <v>Fals</v>
      </c>
      <c r="F19" t="s">
        <v>12</v>
      </c>
      <c r="G19" t="s">
        <v>14</v>
      </c>
      <c r="H19">
        <v>144</v>
      </c>
      <c r="I19" t="str">
        <f>CONCATENATE(Table1[[#This Row],[rate]],"-",Table1[[#This Row],[votes]])</f>
        <v>3.8/5-144</v>
      </c>
      <c r="J19">
        <v>700</v>
      </c>
      <c r="K19" t="s">
        <v>23</v>
      </c>
    </row>
    <row r="20" spans="1:11" x14ac:dyDescent="0.25">
      <c r="A20" t="s">
        <v>37</v>
      </c>
      <c r="B20">
        <f>LEN(Table1[[#This Row],[name]])</f>
        <v>8</v>
      </c>
      <c r="C20" t="str">
        <f>IF(Table1[[#This Row],[online_order]]="yes","online","ofline")</f>
        <v>ofline</v>
      </c>
      <c r="D20" t="s">
        <v>12</v>
      </c>
      <c r="E20" t="str">
        <f>IF(Table1[[#This Row],[book_table]]="Yes","Booking Avalibal","Fals")</f>
        <v>Fals</v>
      </c>
      <c r="F20" t="s">
        <v>12</v>
      </c>
      <c r="G20" t="s">
        <v>35</v>
      </c>
      <c r="H20">
        <v>93</v>
      </c>
      <c r="I20" t="str">
        <f>CONCATENATE(Table1[[#This Row],[rate]],"-",Table1[[#This Row],[votes]])</f>
        <v>3.9/5-93</v>
      </c>
      <c r="J20">
        <v>300</v>
      </c>
      <c r="K20" t="s">
        <v>23</v>
      </c>
    </row>
    <row r="21" spans="1:11" x14ac:dyDescent="0.25">
      <c r="A21" t="s">
        <v>38</v>
      </c>
      <c r="B21">
        <f>LEN(Table1[[#This Row],[name]])</f>
        <v>29</v>
      </c>
      <c r="C21" t="str">
        <f>IF(Table1[[#This Row],[online_order]]="yes","online","ofline")</f>
        <v>online</v>
      </c>
      <c r="D21" t="s">
        <v>8</v>
      </c>
      <c r="E21" t="str">
        <f>IF(Table1[[#This Row],[book_table]]="Yes","Booking Avalibal","Fals")</f>
        <v>Fals</v>
      </c>
      <c r="F21" t="s">
        <v>12</v>
      </c>
      <c r="G21" t="s">
        <v>39</v>
      </c>
      <c r="H21">
        <v>13</v>
      </c>
      <c r="I21" t="str">
        <f>CONCATENATE(Table1[[#This Row],[rate]],"-",Table1[[#This Row],[votes]])</f>
        <v>3.1/5-13</v>
      </c>
      <c r="J21">
        <v>400</v>
      </c>
      <c r="K21" t="s">
        <v>23</v>
      </c>
    </row>
    <row r="22" spans="1:11" x14ac:dyDescent="0.25">
      <c r="A22" t="s">
        <v>40</v>
      </c>
      <c r="B22">
        <f>LEN(Table1[[#This Row],[name]])</f>
        <v>16</v>
      </c>
      <c r="C22" t="str">
        <f>IF(Table1[[#This Row],[online_order]]="yes","online","ofline")</f>
        <v>online</v>
      </c>
      <c r="D22" t="s">
        <v>8</v>
      </c>
      <c r="E22" t="str">
        <f>IF(Table1[[#This Row],[book_table]]="Yes","Booking Avalibal","Fals")</f>
        <v>Fals</v>
      </c>
      <c r="F22" t="s">
        <v>12</v>
      </c>
      <c r="G22" t="s">
        <v>41</v>
      </c>
      <c r="H22">
        <v>62</v>
      </c>
      <c r="I22" t="str">
        <f>CONCATENATE(Table1[[#This Row],[rate]],"-",Table1[[#This Row],[votes]])</f>
        <v>3.0/5-62</v>
      </c>
      <c r="J22">
        <v>400</v>
      </c>
      <c r="K22" t="s">
        <v>23</v>
      </c>
    </row>
    <row r="23" spans="1:11" x14ac:dyDescent="0.25">
      <c r="A23" t="s">
        <v>42</v>
      </c>
      <c r="B23">
        <f>LEN(Table1[[#This Row],[name]])</f>
        <v>12</v>
      </c>
      <c r="C23" t="str">
        <f>IF(Table1[[#This Row],[online_order]]="yes","online","ofline")</f>
        <v>online</v>
      </c>
      <c r="D23" t="s">
        <v>8</v>
      </c>
      <c r="E23" t="str">
        <f>IF(Table1[[#This Row],[book_table]]="Yes","Booking Avalibal","Fals")</f>
        <v>Fals</v>
      </c>
      <c r="F23" t="s">
        <v>12</v>
      </c>
      <c r="G23" t="s">
        <v>16</v>
      </c>
      <c r="H23">
        <v>180</v>
      </c>
      <c r="I23" t="str">
        <f>CONCATENATE(Table1[[#This Row],[rate]],"-",Table1[[#This Row],[votes]])</f>
        <v>3.7/5-180</v>
      </c>
      <c r="J23">
        <v>500</v>
      </c>
      <c r="K23" t="s">
        <v>23</v>
      </c>
    </row>
    <row r="24" spans="1:11" x14ac:dyDescent="0.25">
      <c r="A24" t="s">
        <v>43</v>
      </c>
      <c r="B24">
        <f>LEN(Table1[[#This Row],[name]])</f>
        <v>15</v>
      </c>
      <c r="C24" t="str">
        <f>IF(Table1[[#This Row],[online_order]]="yes","online","ofline")</f>
        <v>ofline</v>
      </c>
      <c r="D24" t="s">
        <v>12</v>
      </c>
      <c r="E24" t="str">
        <f>IF(Table1[[#This Row],[book_table]]="Yes","Booking Avalibal","Fals")</f>
        <v>Fals</v>
      </c>
      <c r="F24" t="s">
        <v>12</v>
      </c>
      <c r="G24" t="s">
        <v>20</v>
      </c>
      <c r="H24">
        <v>28</v>
      </c>
      <c r="I24" t="str">
        <f>CONCATENATE(Table1[[#This Row],[rate]],"-",Table1[[#This Row],[votes]])</f>
        <v>3.6/5-28</v>
      </c>
      <c r="J24">
        <v>900</v>
      </c>
      <c r="K24" t="s">
        <v>23</v>
      </c>
    </row>
    <row r="25" spans="1:11" x14ac:dyDescent="0.25">
      <c r="A25" t="s">
        <v>44</v>
      </c>
      <c r="B25">
        <f>LEN(Table1[[#This Row],[name]])</f>
        <v>12</v>
      </c>
      <c r="C25" t="str">
        <f>IF(Table1[[#This Row],[online_order]]="yes","online","ofline")</f>
        <v>online</v>
      </c>
      <c r="D25" t="s">
        <v>8</v>
      </c>
      <c r="E25" t="str">
        <f>IF(Table1[[#This Row],[book_table]]="Yes","Booking Avalibal","Fals")</f>
        <v>Fals</v>
      </c>
      <c r="F25" t="s">
        <v>12</v>
      </c>
      <c r="G25" t="s">
        <v>20</v>
      </c>
      <c r="H25">
        <v>62</v>
      </c>
      <c r="I25" t="str">
        <f>CONCATENATE(Table1[[#This Row],[rate]],"-",Table1[[#This Row],[votes]])</f>
        <v>3.6/5-62</v>
      </c>
      <c r="J25">
        <v>600</v>
      </c>
      <c r="K25" t="s">
        <v>23</v>
      </c>
    </row>
    <row r="26" spans="1:11" x14ac:dyDescent="0.25">
      <c r="A26" t="s">
        <v>45</v>
      </c>
      <c r="B26">
        <f>LEN(Table1[[#This Row],[name]])</f>
        <v>13</v>
      </c>
      <c r="C26" t="str">
        <f>IF(Table1[[#This Row],[online_order]]="yes","online","ofline")</f>
        <v>ofline</v>
      </c>
      <c r="D26" t="s">
        <v>12</v>
      </c>
      <c r="E26" t="str">
        <f>IF(Table1[[#This Row],[book_table]]="Yes","Booking Avalibal","Fals")</f>
        <v>Fals</v>
      </c>
      <c r="F26" t="s">
        <v>12</v>
      </c>
      <c r="G26" t="s">
        <v>16</v>
      </c>
      <c r="H26">
        <v>31</v>
      </c>
      <c r="I26" t="str">
        <f>CONCATENATE(Table1[[#This Row],[rate]],"-",Table1[[#This Row],[votes]])</f>
        <v>3.7/5-31</v>
      </c>
      <c r="J26">
        <v>300</v>
      </c>
      <c r="K26" t="s">
        <v>23</v>
      </c>
    </row>
    <row r="27" spans="1:11" x14ac:dyDescent="0.25">
      <c r="A27" t="s">
        <v>46</v>
      </c>
      <c r="B27">
        <f>LEN(Table1[[#This Row],[name]])</f>
        <v>9</v>
      </c>
      <c r="C27" t="str">
        <f>IF(Table1[[#This Row],[online_order]]="yes","online","ofline")</f>
        <v>ofline</v>
      </c>
      <c r="D27" t="s">
        <v>12</v>
      </c>
      <c r="E27" t="str">
        <f>IF(Table1[[#This Row],[book_table]]="Yes","Booking Avalibal","Fals")</f>
        <v>Fals</v>
      </c>
      <c r="F27" t="s">
        <v>12</v>
      </c>
      <c r="G27" t="s">
        <v>47</v>
      </c>
      <c r="H27">
        <v>11</v>
      </c>
      <c r="I27" t="str">
        <f>CONCATENATE(Table1[[#This Row],[rate]],"-",Table1[[#This Row],[votes]])</f>
        <v>3.2/5-11</v>
      </c>
      <c r="J27">
        <v>600</v>
      </c>
      <c r="K27" t="s">
        <v>23</v>
      </c>
    </row>
    <row r="28" spans="1:11" x14ac:dyDescent="0.25">
      <c r="A28" t="s">
        <v>48</v>
      </c>
      <c r="B28">
        <f>LEN(Table1[[#This Row],[name]])</f>
        <v>12</v>
      </c>
      <c r="C28" t="str">
        <f>IF(Table1[[#This Row],[online_order]]="yes","online","ofline")</f>
        <v>online</v>
      </c>
      <c r="D28" t="s">
        <v>8</v>
      </c>
      <c r="E28" t="str">
        <f>IF(Table1[[#This Row],[book_table]]="Yes","Booking Avalibal","Fals")</f>
        <v>Fals</v>
      </c>
      <c r="F28" t="s">
        <v>12</v>
      </c>
      <c r="G28" t="s">
        <v>14</v>
      </c>
      <c r="H28">
        <v>75</v>
      </c>
      <c r="I28" t="str">
        <f>CONCATENATE(Table1[[#This Row],[rate]],"-",Table1[[#This Row],[votes]])</f>
        <v>3.8/5-75</v>
      </c>
      <c r="J28">
        <v>200</v>
      </c>
      <c r="K28" t="s">
        <v>23</v>
      </c>
    </row>
    <row r="29" spans="1:11" x14ac:dyDescent="0.25">
      <c r="A29" t="s">
        <v>49</v>
      </c>
      <c r="B29">
        <f>LEN(Table1[[#This Row],[name]])</f>
        <v>14</v>
      </c>
      <c r="C29" t="str">
        <f>IF(Table1[[#This Row],[online_order]]="yes","online","ofline")</f>
        <v>ofline</v>
      </c>
      <c r="D29" t="s">
        <v>12</v>
      </c>
      <c r="E29" t="str">
        <f>IF(Table1[[#This Row],[book_table]]="Yes","Booking Avalibal","Fals")</f>
        <v>Fals</v>
      </c>
      <c r="F29" t="s">
        <v>12</v>
      </c>
      <c r="G29" t="s">
        <v>50</v>
      </c>
      <c r="H29">
        <v>4</v>
      </c>
      <c r="I29" t="str">
        <f>CONCATENATE(Table1[[#This Row],[rate]],"-",Table1[[#This Row],[votes]])</f>
        <v>3.3/5-4</v>
      </c>
      <c r="J29">
        <v>500</v>
      </c>
      <c r="K29" t="s">
        <v>23</v>
      </c>
    </row>
    <row r="30" spans="1:11" x14ac:dyDescent="0.25">
      <c r="A30" t="s">
        <v>51</v>
      </c>
      <c r="B30">
        <f>LEN(Table1[[#This Row],[name]])</f>
        <v>5</v>
      </c>
      <c r="C30" t="str">
        <f>IF(Table1[[#This Row],[online_order]]="yes","online","ofline")</f>
        <v>ofline</v>
      </c>
      <c r="D30" t="s">
        <v>12</v>
      </c>
      <c r="E30" t="str">
        <f>IF(Table1[[#This Row],[book_table]]="Yes","Booking Avalibal","Fals")</f>
        <v>Fals</v>
      </c>
      <c r="F30" t="s">
        <v>12</v>
      </c>
      <c r="G30" t="s">
        <v>50</v>
      </c>
      <c r="H30">
        <v>23</v>
      </c>
      <c r="I30" t="str">
        <f>CONCATENATE(Table1[[#This Row],[rate]],"-",Table1[[#This Row],[votes]])</f>
        <v>3.3/5-23</v>
      </c>
      <c r="J30">
        <v>550</v>
      </c>
      <c r="K30" t="s">
        <v>23</v>
      </c>
    </row>
    <row r="31" spans="1:11" x14ac:dyDescent="0.25">
      <c r="A31" t="s">
        <v>52</v>
      </c>
      <c r="B31">
        <f>LEN(Table1[[#This Row],[name]])</f>
        <v>16</v>
      </c>
      <c r="C31" t="str">
        <f>IF(Table1[[#This Row],[online_order]]="yes","online","ofline")</f>
        <v>ofline</v>
      </c>
      <c r="D31" t="s">
        <v>12</v>
      </c>
      <c r="E31" t="str">
        <f>IF(Table1[[#This Row],[book_table]]="Yes","Booking Avalibal","Fals")</f>
        <v>Fals</v>
      </c>
      <c r="F31" t="s">
        <v>12</v>
      </c>
      <c r="G31" t="s">
        <v>14</v>
      </c>
      <c r="H31">
        <v>148</v>
      </c>
      <c r="I31" t="str">
        <f>CONCATENATE(Table1[[#This Row],[rate]],"-",Table1[[#This Row],[votes]])</f>
        <v>3.8/5-148</v>
      </c>
      <c r="J31">
        <v>550</v>
      </c>
      <c r="K31" t="s">
        <v>23</v>
      </c>
    </row>
    <row r="32" spans="1:11" x14ac:dyDescent="0.25">
      <c r="A32" t="s">
        <v>53</v>
      </c>
      <c r="B32">
        <f>LEN(Table1[[#This Row],[name]])</f>
        <v>9</v>
      </c>
      <c r="C32" t="str">
        <f>IF(Table1[[#This Row],[online_order]]="yes","online","ofline")</f>
        <v>online</v>
      </c>
      <c r="D32" t="s">
        <v>8</v>
      </c>
      <c r="E32" t="str">
        <f>IF(Table1[[#This Row],[book_table]]="Yes","Booking Avalibal","Fals")</f>
        <v>Fals</v>
      </c>
      <c r="F32" t="s">
        <v>12</v>
      </c>
      <c r="G32" t="s">
        <v>25</v>
      </c>
      <c r="H32">
        <v>219</v>
      </c>
      <c r="I32" t="str">
        <f>CONCATENATE(Table1[[#This Row],[rate]],"-",Table1[[#This Row],[votes]])</f>
        <v>4.0/5-219</v>
      </c>
      <c r="J32">
        <v>600</v>
      </c>
      <c r="K32" t="s">
        <v>23</v>
      </c>
    </row>
    <row r="33" spans="1:11" x14ac:dyDescent="0.25">
      <c r="A33" t="s">
        <v>54</v>
      </c>
      <c r="B33">
        <f>LEN(Table1[[#This Row],[name]])</f>
        <v>10</v>
      </c>
      <c r="C33" t="str">
        <f>IF(Table1[[#This Row],[online_order]]="yes","online","ofline")</f>
        <v>online</v>
      </c>
      <c r="D33" t="s">
        <v>8</v>
      </c>
      <c r="E33" t="str">
        <f>IF(Table1[[#This Row],[book_table]]="Yes","Booking Avalibal","Fals")</f>
        <v>Fals</v>
      </c>
      <c r="F33" t="s">
        <v>12</v>
      </c>
      <c r="G33" t="s">
        <v>55</v>
      </c>
      <c r="H33">
        <v>506</v>
      </c>
      <c r="I33" t="str">
        <f>CONCATENATE(Table1[[#This Row],[rate]],"-",Table1[[#This Row],[votes]])</f>
        <v>2.8/5-506</v>
      </c>
      <c r="J33">
        <v>500</v>
      </c>
      <c r="K33" t="s">
        <v>26</v>
      </c>
    </row>
    <row r="34" spans="1:11" x14ac:dyDescent="0.25">
      <c r="A34" t="s">
        <v>56</v>
      </c>
      <c r="B34">
        <f>LEN(Table1[[#This Row],[name]])</f>
        <v>11</v>
      </c>
      <c r="C34" t="str">
        <f>IF(Table1[[#This Row],[online_order]]="yes","online","ofline")</f>
        <v>online</v>
      </c>
      <c r="D34" t="s">
        <v>8</v>
      </c>
      <c r="E34" t="str">
        <f>IF(Table1[[#This Row],[book_table]]="Yes","Booking Avalibal","Fals")</f>
        <v>Fals</v>
      </c>
      <c r="F34" t="s">
        <v>12</v>
      </c>
      <c r="G34" t="s">
        <v>35</v>
      </c>
      <c r="H34">
        <v>35</v>
      </c>
      <c r="I34" t="str">
        <f>CONCATENATE(Table1[[#This Row],[rate]],"-",Table1[[#This Row],[votes]])</f>
        <v>3.9/5-35</v>
      </c>
      <c r="J34">
        <v>500</v>
      </c>
      <c r="K34" t="s">
        <v>57</v>
      </c>
    </row>
    <row r="35" spans="1:11" x14ac:dyDescent="0.25">
      <c r="A35" t="s">
        <v>58</v>
      </c>
      <c r="B35">
        <f>LEN(Table1[[#This Row],[name]])</f>
        <v>15</v>
      </c>
      <c r="C35" t="str">
        <f>IF(Table1[[#This Row],[online_order]]="yes","online","ofline")</f>
        <v>online</v>
      </c>
      <c r="D35" t="s">
        <v>8</v>
      </c>
      <c r="E35" t="str">
        <f>IF(Table1[[#This Row],[book_table]]="Yes","Booking Avalibal","Fals")</f>
        <v>Fals</v>
      </c>
      <c r="F35" t="s">
        <v>12</v>
      </c>
      <c r="G35" t="s">
        <v>35</v>
      </c>
      <c r="H35">
        <v>172</v>
      </c>
      <c r="I35" t="str">
        <f>CONCATENATE(Table1[[#This Row],[rate]],"-",Table1[[#This Row],[votes]])</f>
        <v>3.9/5-172</v>
      </c>
      <c r="J35">
        <v>750</v>
      </c>
      <c r="K35" t="s">
        <v>57</v>
      </c>
    </row>
    <row r="36" spans="1:11" x14ac:dyDescent="0.25">
      <c r="A36" t="s">
        <v>59</v>
      </c>
      <c r="B36">
        <f>LEN(Table1[[#This Row],[name]])</f>
        <v>6</v>
      </c>
      <c r="C36" t="str">
        <f>IF(Table1[[#This Row],[online_order]]="yes","online","ofline")</f>
        <v>online</v>
      </c>
      <c r="D36" t="s">
        <v>8</v>
      </c>
      <c r="E36" t="str">
        <f>IF(Table1[[#This Row],[book_table]]="Yes","Booking Avalibal","Fals")</f>
        <v>Fals</v>
      </c>
      <c r="F36" t="s">
        <v>12</v>
      </c>
      <c r="G36" t="s">
        <v>28</v>
      </c>
      <c r="H36">
        <v>415</v>
      </c>
      <c r="I36" t="str">
        <f>CONCATENATE(Table1[[#This Row],[rate]],"-",Table1[[#This Row],[votes]])</f>
        <v>4.2/5-415</v>
      </c>
      <c r="J36">
        <v>500</v>
      </c>
      <c r="K36" t="s">
        <v>26</v>
      </c>
    </row>
    <row r="37" spans="1:11" x14ac:dyDescent="0.25">
      <c r="A37" t="s">
        <v>60</v>
      </c>
      <c r="B37">
        <f>LEN(Table1[[#This Row],[name]])</f>
        <v>15</v>
      </c>
      <c r="C37" t="str">
        <f>IF(Table1[[#This Row],[online_order]]="yes","online","ofline")</f>
        <v>online</v>
      </c>
      <c r="D37" t="s">
        <v>8</v>
      </c>
      <c r="E37" t="str">
        <f>IF(Table1[[#This Row],[book_table]]="Yes","Booking Avalibal","Fals")</f>
        <v>Fals</v>
      </c>
      <c r="F37" t="s">
        <v>12</v>
      </c>
      <c r="G37" t="s">
        <v>35</v>
      </c>
      <c r="H37">
        <v>230</v>
      </c>
      <c r="I37" t="str">
        <f>CONCATENATE(Table1[[#This Row],[rate]],"-",Table1[[#This Row],[votes]])</f>
        <v>3.9/5-230</v>
      </c>
      <c r="J37">
        <v>650</v>
      </c>
      <c r="K37" t="s">
        <v>57</v>
      </c>
    </row>
    <row r="38" spans="1:11" x14ac:dyDescent="0.25">
      <c r="A38" t="s">
        <v>61</v>
      </c>
      <c r="B38">
        <f>LEN(Table1[[#This Row],[name]])</f>
        <v>14</v>
      </c>
      <c r="C38" t="str">
        <f>IF(Table1[[#This Row],[online_order]]="yes","online","ofline")</f>
        <v>online</v>
      </c>
      <c r="D38" t="s">
        <v>8</v>
      </c>
      <c r="E38" t="str">
        <f>IF(Table1[[#This Row],[book_table]]="Yes","Booking Avalibal","Fals")</f>
        <v>Fals</v>
      </c>
      <c r="F38" t="s">
        <v>12</v>
      </c>
      <c r="G38" t="s">
        <v>55</v>
      </c>
      <c r="H38">
        <v>91</v>
      </c>
      <c r="I38" t="str">
        <f>CONCATENATE(Table1[[#This Row],[rate]],"-",Table1[[#This Row],[votes]])</f>
        <v>2.8/5-91</v>
      </c>
      <c r="J38">
        <v>400</v>
      </c>
      <c r="K38" t="s">
        <v>57</v>
      </c>
    </row>
    <row r="39" spans="1:11" x14ac:dyDescent="0.25">
      <c r="A39" t="s">
        <v>62</v>
      </c>
      <c r="B39">
        <f>LEN(Table1[[#This Row],[name]])</f>
        <v>15</v>
      </c>
      <c r="C39" t="str">
        <f>IF(Table1[[#This Row],[online_order]]="yes","online","ofline")</f>
        <v>online</v>
      </c>
      <c r="D39" t="s">
        <v>8</v>
      </c>
      <c r="E39" t="str">
        <f>IF(Table1[[#This Row],[book_table]]="Yes","Booking Avalibal","Fals")</f>
        <v>Fals</v>
      </c>
      <c r="F39" t="s">
        <v>12</v>
      </c>
      <c r="G39" t="s">
        <v>28</v>
      </c>
      <c r="H39">
        <v>1647</v>
      </c>
      <c r="I39" t="str">
        <f>CONCATENATE(Table1[[#This Row],[rate]],"-",Table1[[#This Row],[votes]])</f>
        <v>4.2/5-1647</v>
      </c>
      <c r="J39">
        <v>600</v>
      </c>
      <c r="K39" t="s">
        <v>57</v>
      </c>
    </row>
    <row r="40" spans="1:11" x14ac:dyDescent="0.25">
      <c r="A40" t="s">
        <v>63</v>
      </c>
      <c r="B40">
        <f>LEN(Table1[[#This Row],[name]])</f>
        <v>17</v>
      </c>
      <c r="C40" t="str">
        <f>IF(Table1[[#This Row],[online_order]]="yes","online","ofline")</f>
        <v>online</v>
      </c>
      <c r="D40" t="s">
        <v>8</v>
      </c>
      <c r="E40" t="str">
        <f>IF(Table1[[#This Row],[book_table]]="Yes","Booking Avalibal","Fals")</f>
        <v>Fals</v>
      </c>
      <c r="F40" t="s">
        <v>12</v>
      </c>
      <c r="G40" t="s">
        <v>64</v>
      </c>
      <c r="H40">
        <v>4884</v>
      </c>
      <c r="I40" t="str">
        <f>CONCATENATE(Table1[[#This Row],[rate]],"-",Table1[[#This Row],[votes]])</f>
        <v>4.4/5-4884</v>
      </c>
      <c r="J40">
        <v>750</v>
      </c>
      <c r="K40" t="s">
        <v>26</v>
      </c>
    </row>
    <row r="41" spans="1:11" x14ac:dyDescent="0.25">
      <c r="A41" t="s">
        <v>65</v>
      </c>
      <c r="B41">
        <f>LEN(Table1[[#This Row],[name]])</f>
        <v>28</v>
      </c>
      <c r="C41" t="str">
        <f>IF(Table1[[#This Row],[online_order]]="yes","online","ofline")</f>
        <v>online</v>
      </c>
      <c r="D41" t="s">
        <v>8</v>
      </c>
      <c r="E41" t="str">
        <f>IF(Table1[[#This Row],[book_table]]="Yes","Booking Avalibal","Fals")</f>
        <v>Fals</v>
      </c>
      <c r="F41" t="s">
        <v>12</v>
      </c>
      <c r="G41" t="s">
        <v>25</v>
      </c>
      <c r="H41">
        <v>17</v>
      </c>
      <c r="I41" t="str">
        <f>CONCATENATE(Table1[[#This Row],[rate]],"-",Table1[[#This Row],[votes]])</f>
        <v>4.0/5-17</v>
      </c>
      <c r="J41">
        <v>150</v>
      </c>
      <c r="K41" t="s">
        <v>57</v>
      </c>
    </row>
    <row r="42" spans="1:11" x14ac:dyDescent="0.25">
      <c r="A42" t="s">
        <v>66</v>
      </c>
      <c r="B42">
        <f>LEN(Table1[[#This Row],[name]])</f>
        <v>9</v>
      </c>
      <c r="C42" t="str">
        <f>IF(Table1[[#This Row],[online_order]]="yes","online","ofline")</f>
        <v>online</v>
      </c>
      <c r="D42" t="s">
        <v>8</v>
      </c>
      <c r="E42" t="str">
        <f>IF(Table1[[#This Row],[book_table]]="Yes","Booking Avalibal","Fals")</f>
        <v>Fals</v>
      </c>
      <c r="F42" t="s">
        <v>12</v>
      </c>
      <c r="G42" t="s">
        <v>14</v>
      </c>
      <c r="H42">
        <v>133</v>
      </c>
      <c r="I42" t="str">
        <f>CONCATENATE(Table1[[#This Row],[rate]],"-",Table1[[#This Row],[votes]])</f>
        <v>3.8/5-133</v>
      </c>
      <c r="J42">
        <v>200</v>
      </c>
      <c r="K42" t="s">
        <v>57</v>
      </c>
    </row>
    <row r="43" spans="1:11" x14ac:dyDescent="0.25">
      <c r="A43" t="s">
        <v>67</v>
      </c>
      <c r="B43">
        <f>LEN(Table1[[#This Row],[name]])</f>
        <v>12</v>
      </c>
      <c r="C43" t="str">
        <f>IF(Table1[[#This Row],[online_order]]="yes","online","ofline")</f>
        <v>ofline</v>
      </c>
      <c r="D43" t="s">
        <v>12</v>
      </c>
      <c r="E43" t="str">
        <f>IF(Table1[[#This Row],[book_table]]="Yes","Booking Avalibal","Fals")</f>
        <v>Fals</v>
      </c>
      <c r="F43" t="s">
        <v>12</v>
      </c>
      <c r="G43" t="s">
        <v>35</v>
      </c>
      <c r="H43">
        <v>28</v>
      </c>
      <c r="I43" t="str">
        <f>CONCATENATE(Table1[[#This Row],[rate]],"-",Table1[[#This Row],[votes]])</f>
        <v>3.9/5-28</v>
      </c>
      <c r="J43">
        <v>300</v>
      </c>
      <c r="K43" t="s">
        <v>57</v>
      </c>
    </row>
    <row r="44" spans="1:11" x14ac:dyDescent="0.25">
      <c r="A44" t="s">
        <v>68</v>
      </c>
      <c r="B44">
        <f>LEN(Table1[[#This Row],[name]])</f>
        <v>10</v>
      </c>
      <c r="C44" t="str">
        <f>IF(Table1[[#This Row],[online_order]]="yes","online","ofline")</f>
        <v>online</v>
      </c>
      <c r="D44" t="s">
        <v>8</v>
      </c>
      <c r="E44" t="str">
        <f>IF(Table1[[#This Row],[book_table]]="Yes","Booking Avalibal","Fals")</f>
        <v>Fals</v>
      </c>
      <c r="F44" t="s">
        <v>12</v>
      </c>
      <c r="G44" t="s">
        <v>35</v>
      </c>
      <c r="H44">
        <v>286</v>
      </c>
      <c r="I44" t="str">
        <f>CONCATENATE(Table1[[#This Row],[rate]],"-",Table1[[#This Row],[votes]])</f>
        <v>3.9/5-286</v>
      </c>
      <c r="J44">
        <v>500</v>
      </c>
      <c r="K44" t="s">
        <v>57</v>
      </c>
    </row>
    <row r="45" spans="1:11" x14ac:dyDescent="0.25">
      <c r="A45" t="s">
        <v>69</v>
      </c>
      <c r="B45">
        <f>LEN(Table1[[#This Row],[name]])</f>
        <v>14</v>
      </c>
      <c r="C45" t="str">
        <f>IF(Table1[[#This Row],[online_order]]="yes","online","ofline")</f>
        <v>online</v>
      </c>
      <c r="D45" t="s">
        <v>8</v>
      </c>
      <c r="E45" t="str">
        <f>IF(Table1[[#This Row],[book_table]]="Yes","Booking Avalibal","Fals")</f>
        <v>Fals</v>
      </c>
      <c r="F45" t="s">
        <v>12</v>
      </c>
      <c r="G45" t="s">
        <v>35</v>
      </c>
      <c r="H45">
        <v>540</v>
      </c>
      <c r="I45" t="str">
        <f>CONCATENATE(Table1[[#This Row],[rate]],"-",Table1[[#This Row],[votes]])</f>
        <v>3.9/5-540</v>
      </c>
      <c r="J45">
        <v>800</v>
      </c>
      <c r="K45" t="s">
        <v>57</v>
      </c>
    </row>
    <row r="46" spans="1:11" x14ac:dyDescent="0.25">
      <c r="A46" t="s">
        <v>21</v>
      </c>
      <c r="B46">
        <f>LEN(Table1[[#This Row],[name]])</f>
        <v>6</v>
      </c>
      <c r="C46" t="str">
        <f>IF(Table1[[#This Row],[online_order]]="yes","online","ofline")</f>
        <v>online</v>
      </c>
      <c r="D46" t="s">
        <v>8</v>
      </c>
      <c r="E46" t="str">
        <f>IF(Table1[[#This Row],[book_table]]="Yes","Booking Avalibal","Fals")</f>
        <v>Booking Avalibal</v>
      </c>
      <c r="F46" t="s">
        <v>8</v>
      </c>
      <c r="G46" t="s">
        <v>22</v>
      </c>
      <c r="H46">
        <v>2556</v>
      </c>
      <c r="I46" t="str">
        <f>CONCATENATE(Table1[[#This Row],[rate]],"-",Table1[[#This Row],[votes]])</f>
        <v>4.6/5-2556</v>
      </c>
      <c r="J46">
        <v>600</v>
      </c>
      <c r="K46" t="s">
        <v>26</v>
      </c>
    </row>
    <row r="47" spans="1:11" x14ac:dyDescent="0.25">
      <c r="A47" t="s">
        <v>70</v>
      </c>
      <c r="B47">
        <f>LEN(Table1[[#This Row],[name]])</f>
        <v>8</v>
      </c>
      <c r="C47" t="str">
        <f>IF(Table1[[#This Row],[online_order]]="yes","online","ofline")</f>
        <v>ofline</v>
      </c>
      <c r="D47" t="s">
        <v>12</v>
      </c>
      <c r="E47" t="str">
        <f>IF(Table1[[#This Row],[book_table]]="Yes","Booking Avalibal","Fals")</f>
        <v>Fals</v>
      </c>
      <c r="F47" t="s">
        <v>12</v>
      </c>
      <c r="G47" t="s">
        <v>14</v>
      </c>
      <c r="H47">
        <v>36</v>
      </c>
      <c r="I47" t="str">
        <f>CONCATENATE(Table1[[#This Row],[rate]],"-",Table1[[#This Row],[votes]])</f>
        <v>3.8/5-36</v>
      </c>
      <c r="J47">
        <v>400</v>
      </c>
      <c r="K47" t="s">
        <v>57</v>
      </c>
    </row>
    <row r="48" spans="1:11" x14ac:dyDescent="0.25">
      <c r="A48" t="s">
        <v>71</v>
      </c>
      <c r="B48">
        <f>LEN(Table1[[#This Row],[name]])</f>
        <v>14</v>
      </c>
      <c r="C48" t="str">
        <f>IF(Table1[[#This Row],[online_order]]="yes","online","ofline")</f>
        <v>online</v>
      </c>
      <c r="D48" t="s">
        <v>8</v>
      </c>
      <c r="E48" t="str">
        <f>IF(Table1[[#This Row],[book_table]]="Yes","Booking Avalibal","Fals")</f>
        <v>Fals</v>
      </c>
      <c r="F48" t="s">
        <v>12</v>
      </c>
      <c r="G48" t="s">
        <v>20</v>
      </c>
      <c r="H48">
        <v>244</v>
      </c>
      <c r="I48" t="str">
        <f>CONCATENATE(Table1[[#This Row],[rate]],"-",Table1[[#This Row],[votes]])</f>
        <v>3.6/5-244</v>
      </c>
      <c r="J48">
        <v>300</v>
      </c>
      <c r="K48" t="s">
        <v>57</v>
      </c>
    </row>
    <row r="49" spans="1:11" x14ac:dyDescent="0.25">
      <c r="A49" t="s">
        <v>72</v>
      </c>
      <c r="B49">
        <f>LEN(Table1[[#This Row],[name]])</f>
        <v>6</v>
      </c>
      <c r="C49" t="str">
        <f>IF(Table1[[#This Row],[online_order]]="yes","online","ofline")</f>
        <v>online</v>
      </c>
      <c r="D49" t="s">
        <v>8</v>
      </c>
      <c r="E49" t="str">
        <f>IF(Table1[[#This Row],[book_table]]="Yes","Booking Avalibal","Fals")</f>
        <v>Fals</v>
      </c>
      <c r="F49" t="s">
        <v>12</v>
      </c>
      <c r="G49" t="s">
        <v>25</v>
      </c>
      <c r="H49">
        <v>804</v>
      </c>
      <c r="I49" t="str">
        <f>CONCATENATE(Table1[[#This Row],[rate]],"-",Table1[[#This Row],[votes]])</f>
        <v>4.0/5-804</v>
      </c>
      <c r="J49">
        <v>450</v>
      </c>
      <c r="K49" t="s">
        <v>57</v>
      </c>
    </row>
    <row r="50" spans="1:11" x14ac:dyDescent="0.25">
      <c r="A50" t="s">
        <v>73</v>
      </c>
      <c r="B50">
        <f>LEN(Table1[[#This Row],[name]])</f>
        <v>13</v>
      </c>
      <c r="C50" t="str">
        <f>IF(Table1[[#This Row],[online_order]]="yes","online","ofline")</f>
        <v>online</v>
      </c>
      <c r="D50" t="s">
        <v>8</v>
      </c>
      <c r="E50" t="str">
        <f>IF(Table1[[#This Row],[book_table]]="Yes","Booking Avalibal","Fals")</f>
        <v>Fals</v>
      </c>
      <c r="F50" t="s">
        <v>12</v>
      </c>
      <c r="G50" t="s">
        <v>16</v>
      </c>
      <c r="H50">
        <v>679</v>
      </c>
      <c r="I50" t="str">
        <f>CONCATENATE(Table1[[#This Row],[rate]],"-",Table1[[#This Row],[votes]])</f>
        <v>3.7/5-679</v>
      </c>
      <c r="J50">
        <v>850</v>
      </c>
      <c r="K50" t="s">
        <v>57</v>
      </c>
    </row>
    <row r="51" spans="1:11" x14ac:dyDescent="0.25">
      <c r="A51" t="s">
        <v>74</v>
      </c>
      <c r="B51">
        <f>LEN(Table1[[#This Row],[name]])</f>
        <v>11</v>
      </c>
      <c r="C51" t="str">
        <f>IF(Table1[[#This Row],[online_order]]="yes","online","ofline")</f>
        <v>online</v>
      </c>
      <c r="D51" t="s">
        <v>8</v>
      </c>
      <c r="E51" t="str">
        <f>IF(Table1[[#This Row],[book_table]]="Yes","Booking Avalibal","Fals")</f>
        <v>Fals</v>
      </c>
      <c r="F51" t="s">
        <v>12</v>
      </c>
      <c r="G51" t="s">
        <v>39</v>
      </c>
      <c r="H51">
        <v>245</v>
      </c>
      <c r="I51" t="str">
        <f>CONCATENATE(Table1[[#This Row],[rate]],"-",Table1[[#This Row],[votes]])</f>
        <v>3.1/5-245</v>
      </c>
      <c r="J51">
        <v>300</v>
      </c>
      <c r="K51" t="s">
        <v>57</v>
      </c>
    </row>
    <row r="52" spans="1:11" x14ac:dyDescent="0.25">
      <c r="A52" t="s">
        <v>75</v>
      </c>
      <c r="B52">
        <f>LEN(Table1[[#This Row],[name]])</f>
        <v>5</v>
      </c>
      <c r="C52" t="str">
        <f>IF(Table1[[#This Row],[online_order]]="yes","online","ofline")</f>
        <v>ofline</v>
      </c>
      <c r="D52" t="s">
        <v>12</v>
      </c>
      <c r="E52" t="str">
        <f>IF(Table1[[#This Row],[book_table]]="Yes","Booking Avalibal","Fals")</f>
        <v>Fals</v>
      </c>
      <c r="F52" t="s">
        <v>12</v>
      </c>
      <c r="G52" t="s">
        <v>16</v>
      </c>
      <c r="H52">
        <v>21</v>
      </c>
      <c r="I52" t="str">
        <f>CONCATENATE(Table1[[#This Row],[rate]],"-",Table1[[#This Row],[votes]])</f>
        <v>3.7/5-21</v>
      </c>
      <c r="J52">
        <v>450</v>
      </c>
      <c r="K52" t="s">
        <v>57</v>
      </c>
    </row>
    <row r="53" spans="1:11" x14ac:dyDescent="0.25">
      <c r="A53" t="s">
        <v>76</v>
      </c>
      <c r="B53">
        <f>LEN(Table1[[#This Row],[name]])</f>
        <v>16</v>
      </c>
      <c r="C53" t="str">
        <f>IF(Table1[[#This Row],[online_order]]="yes","online","ofline")</f>
        <v>online</v>
      </c>
      <c r="D53" t="s">
        <v>8</v>
      </c>
      <c r="E53" t="str">
        <f>IF(Table1[[#This Row],[book_table]]="Yes","Booking Avalibal","Fals")</f>
        <v>Fals</v>
      </c>
      <c r="F53" t="s">
        <v>12</v>
      </c>
      <c r="G53" t="s">
        <v>9</v>
      </c>
      <c r="H53">
        <v>28</v>
      </c>
      <c r="I53" t="str">
        <f>CONCATENATE(Table1[[#This Row],[rate]],"-",Table1[[#This Row],[votes]])</f>
        <v>4.1/5-28</v>
      </c>
      <c r="J53">
        <v>150</v>
      </c>
      <c r="K53" t="s">
        <v>57</v>
      </c>
    </row>
    <row r="54" spans="1:11" x14ac:dyDescent="0.25">
      <c r="A54" t="s">
        <v>77</v>
      </c>
      <c r="B54">
        <f>LEN(Table1[[#This Row],[name]])</f>
        <v>22</v>
      </c>
      <c r="C54" t="str">
        <f>IF(Table1[[#This Row],[online_order]]="yes","online","ofline")</f>
        <v>ofline</v>
      </c>
      <c r="D54" t="s">
        <v>12</v>
      </c>
      <c r="E54" t="str">
        <f>IF(Table1[[#This Row],[book_table]]="Yes","Booking Avalibal","Fals")</f>
        <v>Fals</v>
      </c>
      <c r="F54" t="s">
        <v>12</v>
      </c>
      <c r="G54" t="s">
        <v>78</v>
      </c>
      <c r="H54">
        <v>345</v>
      </c>
      <c r="I54" t="str">
        <f>CONCATENATE(Table1[[#This Row],[rate]],"-",Table1[[#This Row],[votes]])</f>
        <v>4.3/5-345</v>
      </c>
      <c r="J54">
        <v>400</v>
      </c>
      <c r="K54" t="s">
        <v>57</v>
      </c>
    </row>
    <row r="55" spans="1:11" x14ac:dyDescent="0.25">
      <c r="A55" t="s">
        <v>79</v>
      </c>
      <c r="B55">
        <f>LEN(Table1[[#This Row],[name]])</f>
        <v>17</v>
      </c>
      <c r="C55" t="str">
        <f>IF(Table1[[#This Row],[online_order]]="yes","online","ofline")</f>
        <v>online</v>
      </c>
      <c r="D55" t="s">
        <v>8</v>
      </c>
      <c r="E55" t="str">
        <f>IF(Table1[[#This Row],[book_table]]="Yes","Booking Avalibal","Fals")</f>
        <v>Fals</v>
      </c>
      <c r="F55" t="s">
        <v>12</v>
      </c>
      <c r="G55" t="s">
        <v>25</v>
      </c>
      <c r="H55">
        <v>618</v>
      </c>
      <c r="I55" t="str">
        <f>CONCATENATE(Table1[[#This Row],[rate]],"-",Table1[[#This Row],[votes]])</f>
        <v>4.0/5-618</v>
      </c>
      <c r="J55">
        <v>750</v>
      </c>
      <c r="K55" t="s">
        <v>57</v>
      </c>
    </row>
    <row r="56" spans="1:11" x14ac:dyDescent="0.25">
      <c r="A56" t="s">
        <v>80</v>
      </c>
      <c r="B56">
        <f>LEN(Table1[[#This Row],[name]])</f>
        <v>12</v>
      </c>
      <c r="C56" t="str">
        <f>IF(Table1[[#This Row],[online_order]]="yes","online","ofline")</f>
        <v>ofline</v>
      </c>
      <c r="D56" t="s">
        <v>12</v>
      </c>
      <c r="E56" t="str">
        <f>IF(Table1[[#This Row],[book_table]]="Yes","Booking Avalibal","Fals")</f>
        <v>Fals</v>
      </c>
      <c r="F56" t="s">
        <v>12</v>
      </c>
      <c r="G56" t="s">
        <v>25</v>
      </c>
      <c r="H56">
        <v>1047</v>
      </c>
      <c r="I56" t="str">
        <f>CONCATENATE(Table1[[#This Row],[rate]],"-",Table1[[#This Row],[votes]])</f>
        <v>4.0/5-1047</v>
      </c>
      <c r="J56">
        <v>450</v>
      </c>
      <c r="K56" t="s">
        <v>57</v>
      </c>
    </row>
    <row r="57" spans="1:11" x14ac:dyDescent="0.25">
      <c r="A57" t="s">
        <v>81</v>
      </c>
      <c r="B57">
        <f>LEN(Table1[[#This Row],[name]])</f>
        <v>9</v>
      </c>
      <c r="C57" t="str">
        <f>IF(Table1[[#This Row],[online_order]]="yes","online","ofline")</f>
        <v>online</v>
      </c>
      <c r="D57" t="s">
        <v>8</v>
      </c>
      <c r="E57" t="str">
        <f>IF(Table1[[#This Row],[book_table]]="Yes","Booking Avalibal","Fals")</f>
        <v>Fals</v>
      </c>
      <c r="F57" t="s">
        <v>12</v>
      </c>
      <c r="G57" t="s">
        <v>35</v>
      </c>
      <c r="H57">
        <v>627</v>
      </c>
      <c r="I57" t="str">
        <f>CONCATENATE(Table1[[#This Row],[rate]],"-",Table1[[#This Row],[votes]])</f>
        <v>3.9/5-627</v>
      </c>
      <c r="J57">
        <v>450</v>
      </c>
      <c r="K57" t="s">
        <v>57</v>
      </c>
    </row>
    <row r="58" spans="1:11" x14ac:dyDescent="0.25">
      <c r="A58" t="s">
        <v>82</v>
      </c>
      <c r="B58">
        <f>LEN(Table1[[#This Row],[name]])</f>
        <v>27</v>
      </c>
      <c r="C58" t="str">
        <f>IF(Table1[[#This Row],[online_order]]="yes","online","ofline")</f>
        <v>online</v>
      </c>
      <c r="D58" t="s">
        <v>8</v>
      </c>
      <c r="E58" t="str">
        <f>IF(Table1[[#This Row],[book_table]]="Yes","Booking Avalibal","Fals")</f>
        <v>Fals</v>
      </c>
      <c r="F58" t="s">
        <v>12</v>
      </c>
      <c r="G58" t="s">
        <v>14</v>
      </c>
      <c r="H58">
        <v>104</v>
      </c>
      <c r="I58" t="str">
        <f>CONCATENATE(Table1[[#This Row],[rate]],"-",Table1[[#This Row],[votes]])</f>
        <v>3.8/5-104</v>
      </c>
      <c r="J58">
        <v>300</v>
      </c>
      <c r="K58" t="s">
        <v>57</v>
      </c>
    </row>
    <row r="59" spans="1:11" x14ac:dyDescent="0.25">
      <c r="A59" t="s">
        <v>83</v>
      </c>
      <c r="B59">
        <f>LEN(Table1[[#This Row],[name]])</f>
        <v>6</v>
      </c>
      <c r="C59" t="str">
        <f>IF(Table1[[#This Row],[online_order]]="yes","online","ofline")</f>
        <v>online</v>
      </c>
      <c r="D59" t="s">
        <v>8</v>
      </c>
      <c r="E59" t="str">
        <f>IF(Table1[[#This Row],[book_table]]="Yes","Booking Avalibal","Fals")</f>
        <v>Booking Avalibal</v>
      </c>
      <c r="F59" t="s">
        <v>8</v>
      </c>
      <c r="G59" t="s">
        <v>28</v>
      </c>
      <c r="H59">
        <v>354</v>
      </c>
      <c r="I59" t="str">
        <f>CONCATENATE(Table1[[#This Row],[rate]],"-",Table1[[#This Row],[votes]])</f>
        <v>4.2/5-354</v>
      </c>
      <c r="J59">
        <v>800</v>
      </c>
      <c r="K59" t="s">
        <v>26</v>
      </c>
    </row>
    <row r="60" spans="1:11" x14ac:dyDescent="0.25">
      <c r="A60" t="s">
        <v>84</v>
      </c>
      <c r="B60">
        <f>LEN(Table1[[#This Row],[name]])</f>
        <v>17</v>
      </c>
      <c r="C60" t="str">
        <f>IF(Table1[[#This Row],[online_order]]="yes","online","ofline")</f>
        <v>ofline</v>
      </c>
      <c r="D60" t="s">
        <v>12</v>
      </c>
      <c r="E60" t="str">
        <f>IF(Table1[[#This Row],[book_table]]="Yes","Booking Avalibal","Fals")</f>
        <v>Fals</v>
      </c>
      <c r="F60" t="s">
        <v>12</v>
      </c>
      <c r="G60" t="s">
        <v>20</v>
      </c>
      <c r="H60">
        <v>55</v>
      </c>
      <c r="I60" t="str">
        <f>CONCATENATE(Table1[[#This Row],[rate]],"-",Table1[[#This Row],[votes]])</f>
        <v>3.6/5-55</v>
      </c>
      <c r="J60">
        <v>200</v>
      </c>
      <c r="K60" t="s">
        <v>57</v>
      </c>
    </row>
    <row r="61" spans="1:11" x14ac:dyDescent="0.25">
      <c r="A61" t="s">
        <v>85</v>
      </c>
      <c r="B61">
        <f>LEN(Table1[[#This Row],[name]])</f>
        <v>17</v>
      </c>
      <c r="C61" t="str">
        <f>IF(Table1[[#This Row],[online_order]]="yes","online","ofline")</f>
        <v>online</v>
      </c>
      <c r="D61" t="s">
        <v>8</v>
      </c>
      <c r="E61" t="str">
        <f>IF(Table1[[#This Row],[book_table]]="Yes","Booking Avalibal","Fals")</f>
        <v>Fals</v>
      </c>
      <c r="F61" t="s">
        <v>12</v>
      </c>
      <c r="G61" t="s">
        <v>16</v>
      </c>
      <c r="H61">
        <v>17</v>
      </c>
      <c r="I61" t="str">
        <f>CONCATENATE(Table1[[#This Row],[rate]],"-",Table1[[#This Row],[votes]])</f>
        <v>3.7/5-17</v>
      </c>
      <c r="J61">
        <v>400</v>
      </c>
      <c r="K61" t="s">
        <v>57</v>
      </c>
    </row>
    <row r="62" spans="1:11" x14ac:dyDescent="0.25">
      <c r="A62" t="s">
        <v>86</v>
      </c>
      <c r="B62">
        <f>LEN(Table1[[#This Row],[name]])</f>
        <v>13</v>
      </c>
      <c r="C62" t="str">
        <f>IF(Table1[[#This Row],[online_order]]="yes","online","ofline")</f>
        <v>ofline</v>
      </c>
      <c r="D62" t="s">
        <v>12</v>
      </c>
      <c r="E62" t="str">
        <f>IF(Table1[[#This Row],[book_table]]="Yes","Booking Avalibal","Fals")</f>
        <v>Fals</v>
      </c>
      <c r="F62" t="s">
        <v>12</v>
      </c>
      <c r="G62" t="s">
        <v>28</v>
      </c>
      <c r="H62">
        <v>244</v>
      </c>
      <c r="I62" t="str">
        <f>CONCATENATE(Table1[[#This Row],[rate]],"-",Table1[[#This Row],[votes]])</f>
        <v>4.2/5-244</v>
      </c>
      <c r="J62">
        <v>800</v>
      </c>
      <c r="K62" t="s">
        <v>26</v>
      </c>
    </row>
    <row r="63" spans="1:11" x14ac:dyDescent="0.25">
      <c r="A63" t="s">
        <v>87</v>
      </c>
      <c r="B63">
        <f>LEN(Table1[[#This Row],[name]])</f>
        <v>8</v>
      </c>
      <c r="C63" t="str">
        <f>IF(Table1[[#This Row],[online_order]]="yes","online","ofline")</f>
        <v>online</v>
      </c>
      <c r="D63" t="s">
        <v>8</v>
      </c>
      <c r="E63" t="str">
        <f>IF(Table1[[#This Row],[book_table]]="Yes","Booking Avalibal","Fals")</f>
        <v>Booking Avalibal</v>
      </c>
      <c r="F63" t="s">
        <v>8</v>
      </c>
      <c r="G63" t="s">
        <v>20</v>
      </c>
      <c r="H63">
        <v>163</v>
      </c>
      <c r="I63" t="str">
        <f>CONCATENATE(Table1[[#This Row],[rate]],"-",Table1[[#This Row],[votes]])</f>
        <v>3.6/5-163</v>
      </c>
      <c r="J63">
        <v>800</v>
      </c>
      <c r="K63" t="s">
        <v>57</v>
      </c>
    </row>
    <row r="64" spans="1:11" x14ac:dyDescent="0.25">
      <c r="A64" t="s">
        <v>88</v>
      </c>
      <c r="B64">
        <f>LEN(Table1[[#This Row],[name]])</f>
        <v>15</v>
      </c>
      <c r="C64" t="str">
        <f>IF(Table1[[#This Row],[online_order]]="yes","online","ofline")</f>
        <v>online</v>
      </c>
      <c r="D64" t="s">
        <v>8</v>
      </c>
      <c r="E64" t="str">
        <f>IF(Table1[[#This Row],[book_table]]="Yes","Booking Avalibal","Fals")</f>
        <v>Fals</v>
      </c>
      <c r="F64" t="s">
        <v>12</v>
      </c>
      <c r="G64" t="s">
        <v>14</v>
      </c>
      <c r="H64">
        <v>58</v>
      </c>
      <c r="I64" t="str">
        <f>CONCATENATE(Table1[[#This Row],[rate]],"-",Table1[[#This Row],[votes]])</f>
        <v>3.8/5-58</v>
      </c>
      <c r="J64">
        <v>150</v>
      </c>
      <c r="K64" t="s">
        <v>57</v>
      </c>
    </row>
    <row r="65" spans="1:11" x14ac:dyDescent="0.25">
      <c r="A65" t="s">
        <v>89</v>
      </c>
      <c r="B65">
        <f>LEN(Table1[[#This Row],[name]])</f>
        <v>15</v>
      </c>
      <c r="C65" t="str">
        <f>IF(Table1[[#This Row],[online_order]]="yes","online","ofline")</f>
        <v>ofline</v>
      </c>
      <c r="D65" t="s">
        <v>12</v>
      </c>
      <c r="E65" t="str">
        <f>IF(Table1[[#This Row],[book_table]]="Yes","Booking Avalibal","Fals")</f>
        <v>Booking Avalibal</v>
      </c>
      <c r="F65" t="s">
        <v>8</v>
      </c>
      <c r="G65" t="s">
        <v>25</v>
      </c>
      <c r="H65">
        <v>808</v>
      </c>
      <c r="I65" t="str">
        <f>CONCATENATE(Table1[[#This Row],[rate]],"-",Table1[[#This Row],[votes]])</f>
        <v>4.0/5-808</v>
      </c>
      <c r="J65">
        <v>850</v>
      </c>
      <c r="K65" t="s">
        <v>57</v>
      </c>
    </row>
    <row r="66" spans="1:11" x14ac:dyDescent="0.25">
      <c r="A66" t="s">
        <v>90</v>
      </c>
      <c r="B66">
        <f>LEN(Table1[[#This Row],[name]])</f>
        <v>15</v>
      </c>
      <c r="C66" t="str">
        <f>IF(Table1[[#This Row],[online_order]]="yes","online","ofline")</f>
        <v>ofline</v>
      </c>
      <c r="D66" t="s">
        <v>12</v>
      </c>
      <c r="E66" t="str">
        <f>IF(Table1[[#This Row],[book_table]]="Yes","Booking Avalibal","Fals")</f>
        <v>Fals</v>
      </c>
      <c r="F66" t="s">
        <v>12</v>
      </c>
      <c r="G66" t="s">
        <v>16</v>
      </c>
      <c r="H66">
        <v>78</v>
      </c>
      <c r="I66" t="str">
        <f>CONCATENATE(Table1[[#This Row],[rate]],"-",Table1[[#This Row],[votes]])</f>
        <v>3.7/5-78</v>
      </c>
      <c r="J66">
        <v>150</v>
      </c>
      <c r="K66" t="s">
        <v>57</v>
      </c>
    </row>
    <row r="67" spans="1:11" x14ac:dyDescent="0.25">
      <c r="A67" t="s">
        <v>91</v>
      </c>
      <c r="B67">
        <f>LEN(Table1[[#This Row],[name]])</f>
        <v>11</v>
      </c>
      <c r="C67" t="str">
        <f>IF(Table1[[#This Row],[online_order]]="yes","online","ofline")</f>
        <v>online</v>
      </c>
      <c r="D67" t="s">
        <v>8</v>
      </c>
      <c r="E67" t="str">
        <f>IF(Table1[[#This Row],[book_table]]="Yes","Booking Avalibal","Fals")</f>
        <v>Fals</v>
      </c>
      <c r="F67" t="s">
        <v>12</v>
      </c>
      <c r="G67" t="s">
        <v>9</v>
      </c>
      <c r="H67">
        <v>1720</v>
      </c>
      <c r="I67" t="str">
        <f>CONCATENATE(Table1[[#This Row],[rate]],"-",Table1[[#This Row],[votes]])</f>
        <v>4.1/5-1720</v>
      </c>
      <c r="J67">
        <v>400</v>
      </c>
      <c r="K67" t="s">
        <v>57</v>
      </c>
    </row>
    <row r="68" spans="1:11" x14ac:dyDescent="0.25">
      <c r="A68" t="s">
        <v>92</v>
      </c>
      <c r="B68">
        <f>LEN(Table1[[#This Row],[name]])</f>
        <v>20</v>
      </c>
      <c r="C68" t="str">
        <f>IF(Table1[[#This Row],[online_order]]="yes","online","ofline")</f>
        <v>online</v>
      </c>
      <c r="D68" t="s">
        <v>8</v>
      </c>
      <c r="E68" t="str">
        <f>IF(Table1[[#This Row],[book_table]]="Yes","Booking Avalibal","Fals")</f>
        <v>Fals</v>
      </c>
      <c r="F68" t="s">
        <v>12</v>
      </c>
      <c r="G68" t="s">
        <v>20</v>
      </c>
      <c r="H68">
        <v>34</v>
      </c>
      <c r="I68" t="str">
        <f>CONCATENATE(Table1[[#This Row],[rate]],"-",Table1[[#This Row],[votes]])</f>
        <v>3.6/5-34</v>
      </c>
      <c r="J68">
        <v>100</v>
      </c>
      <c r="K68" t="s">
        <v>57</v>
      </c>
    </row>
    <row r="69" spans="1:11" x14ac:dyDescent="0.25">
      <c r="A69" t="s">
        <v>93</v>
      </c>
      <c r="B69">
        <f>LEN(Table1[[#This Row],[name]])</f>
        <v>18</v>
      </c>
      <c r="C69" t="str">
        <f>IF(Table1[[#This Row],[online_order]]="yes","online","ofline")</f>
        <v>ofline</v>
      </c>
      <c r="D69" t="s">
        <v>12</v>
      </c>
      <c r="E69" t="str">
        <f>IF(Table1[[#This Row],[book_table]]="Yes","Booking Avalibal","Fals")</f>
        <v>Fals</v>
      </c>
      <c r="F69" t="s">
        <v>12</v>
      </c>
      <c r="G69" t="s">
        <v>9</v>
      </c>
      <c r="H69">
        <v>868</v>
      </c>
      <c r="I69" t="str">
        <f>CONCATENATE(Table1[[#This Row],[rate]],"-",Table1[[#This Row],[votes]])</f>
        <v>4.1/5-868</v>
      </c>
      <c r="J69">
        <v>700</v>
      </c>
      <c r="K69" t="s">
        <v>57</v>
      </c>
    </row>
    <row r="70" spans="1:11" x14ac:dyDescent="0.25">
      <c r="A70" t="s">
        <v>94</v>
      </c>
      <c r="B70">
        <f>LEN(Table1[[#This Row],[name]])</f>
        <v>10</v>
      </c>
      <c r="C70" t="str">
        <f>IF(Table1[[#This Row],[online_order]]="yes","online","ofline")</f>
        <v>ofline</v>
      </c>
      <c r="D70" t="s">
        <v>12</v>
      </c>
      <c r="E70" t="str">
        <f>IF(Table1[[#This Row],[book_table]]="Yes","Booking Avalibal","Fals")</f>
        <v>Fals</v>
      </c>
      <c r="F70" t="s">
        <v>12</v>
      </c>
      <c r="G70" t="s">
        <v>14</v>
      </c>
      <c r="H70">
        <v>39</v>
      </c>
      <c r="I70" t="str">
        <f>CONCATENATE(Table1[[#This Row],[rate]],"-",Table1[[#This Row],[votes]])</f>
        <v>3.8/5-39</v>
      </c>
      <c r="J70">
        <v>300</v>
      </c>
      <c r="K70" t="s">
        <v>57</v>
      </c>
    </row>
    <row r="71" spans="1:11" x14ac:dyDescent="0.25">
      <c r="A71" t="s">
        <v>95</v>
      </c>
      <c r="B71">
        <f>LEN(Table1[[#This Row],[name]])</f>
        <v>11</v>
      </c>
      <c r="C71" t="str">
        <f>IF(Table1[[#This Row],[online_order]]="yes","online","ofline")</f>
        <v>online</v>
      </c>
      <c r="D71" t="s">
        <v>8</v>
      </c>
      <c r="E71" t="str">
        <f>IF(Table1[[#This Row],[book_table]]="Yes","Booking Avalibal","Fals")</f>
        <v>Fals</v>
      </c>
      <c r="F71" t="s">
        <v>12</v>
      </c>
      <c r="G71" t="s">
        <v>47</v>
      </c>
      <c r="H71">
        <v>71</v>
      </c>
      <c r="I71" t="str">
        <f>CONCATENATE(Table1[[#This Row],[rate]],"-",Table1[[#This Row],[votes]])</f>
        <v>3.2/5-71</v>
      </c>
      <c r="J71">
        <v>600</v>
      </c>
      <c r="K71" t="s">
        <v>57</v>
      </c>
    </row>
    <row r="72" spans="1:11" x14ac:dyDescent="0.25">
      <c r="A72" t="s">
        <v>96</v>
      </c>
      <c r="B72">
        <f>LEN(Table1[[#This Row],[name]])</f>
        <v>13</v>
      </c>
      <c r="C72" t="str">
        <f>IF(Table1[[#This Row],[online_order]]="yes","online","ofline")</f>
        <v>online</v>
      </c>
      <c r="D72" t="s">
        <v>8</v>
      </c>
      <c r="E72" t="str">
        <f>IF(Table1[[#This Row],[book_table]]="Yes","Booking Avalibal","Fals")</f>
        <v>Fals</v>
      </c>
      <c r="F72" t="s">
        <v>12</v>
      </c>
      <c r="G72" t="s">
        <v>20</v>
      </c>
      <c r="H72">
        <v>6</v>
      </c>
      <c r="I72" t="str">
        <f>CONCATENATE(Table1[[#This Row],[rate]],"-",Table1[[#This Row],[votes]])</f>
        <v>3.6/5-6</v>
      </c>
      <c r="J72">
        <v>500</v>
      </c>
      <c r="K72" t="s">
        <v>57</v>
      </c>
    </row>
    <row r="73" spans="1:11" x14ac:dyDescent="0.25">
      <c r="A73" t="s">
        <v>97</v>
      </c>
      <c r="B73">
        <f>LEN(Table1[[#This Row],[name]])</f>
        <v>16</v>
      </c>
      <c r="C73" t="str">
        <f>IF(Table1[[#This Row],[online_order]]="yes","online","ofline")</f>
        <v>ofline</v>
      </c>
      <c r="D73" t="s">
        <v>12</v>
      </c>
      <c r="E73" t="str">
        <f>IF(Table1[[#This Row],[book_table]]="Yes","Booking Avalibal","Fals")</f>
        <v>Fals</v>
      </c>
      <c r="F73" t="s">
        <v>12</v>
      </c>
      <c r="G73" t="s">
        <v>9</v>
      </c>
      <c r="H73">
        <v>520</v>
      </c>
      <c r="I73" t="str">
        <f>CONCATENATE(Table1[[#This Row],[rate]],"-",Table1[[#This Row],[votes]])</f>
        <v>4.1/5-520</v>
      </c>
      <c r="J73">
        <v>300</v>
      </c>
      <c r="K73" t="s">
        <v>57</v>
      </c>
    </row>
    <row r="74" spans="1:11" x14ac:dyDescent="0.25">
      <c r="A74" t="s">
        <v>98</v>
      </c>
      <c r="B74">
        <f>LEN(Table1[[#This Row],[name]])</f>
        <v>13</v>
      </c>
      <c r="C74" t="str">
        <f>IF(Table1[[#This Row],[online_order]]="yes","online","ofline")</f>
        <v>ofline</v>
      </c>
      <c r="D74" t="s">
        <v>12</v>
      </c>
      <c r="E74" t="str">
        <f>IF(Table1[[#This Row],[book_table]]="Yes","Booking Avalibal","Fals")</f>
        <v>Fals</v>
      </c>
      <c r="F74" t="s">
        <v>12</v>
      </c>
      <c r="G74" t="s">
        <v>9</v>
      </c>
      <c r="H74">
        <v>0</v>
      </c>
      <c r="I74" t="str">
        <f>CONCATENATE(Table1[[#This Row],[rate]],"-",Table1[[#This Row],[votes]])</f>
        <v>4.1/5-0</v>
      </c>
      <c r="J74">
        <v>150</v>
      </c>
      <c r="K74" t="s">
        <v>57</v>
      </c>
    </row>
    <row r="75" spans="1:11" x14ac:dyDescent="0.25">
      <c r="A75" t="s">
        <v>99</v>
      </c>
      <c r="B75">
        <f>LEN(Table1[[#This Row],[name]])</f>
        <v>8</v>
      </c>
      <c r="C75" t="str">
        <f>IF(Table1[[#This Row],[online_order]]="yes","online","ofline")</f>
        <v>ofline</v>
      </c>
      <c r="D75" t="s">
        <v>12</v>
      </c>
      <c r="E75" t="str">
        <f>IF(Table1[[#This Row],[book_table]]="Yes","Booking Avalibal","Fals")</f>
        <v>Fals</v>
      </c>
      <c r="F75" t="s">
        <v>12</v>
      </c>
      <c r="G75" t="s">
        <v>100</v>
      </c>
      <c r="H75">
        <v>84</v>
      </c>
      <c r="I75" t="str">
        <f>CONCATENATE(Table1[[#This Row],[rate]],"-",Table1[[#This Row],[votes]])</f>
        <v>2.9/5-84</v>
      </c>
      <c r="J75">
        <v>700</v>
      </c>
      <c r="K75" t="s">
        <v>26</v>
      </c>
    </row>
    <row r="76" spans="1:11" x14ac:dyDescent="0.25">
      <c r="A76" t="s">
        <v>101</v>
      </c>
      <c r="B76">
        <f>LEN(Table1[[#This Row],[name]])</f>
        <v>15</v>
      </c>
      <c r="C76" t="str">
        <f>IF(Table1[[#This Row],[online_order]]="yes","online","ofline")</f>
        <v>ofline</v>
      </c>
      <c r="D76" t="s">
        <v>12</v>
      </c>
      <c r="E76" t="str">
        <f>IF(Table1[[#This Row],[book_table]]="Yes","Booking Avalibal","Fals")</f>
        <v>Fals</v>
      </c>
      <c r="F76" t="s">
        <v>12</v>
      </c>
      <c r="G76" t="s">
        <v>20</v>
      </c>
      <c r="H76">
        <v>299</v>
      </c>
      <c r="I76" t="str">
        <f>CONCATENATE(Table1[[#This Row],[rate]],"-",Table1[[#This Row],[votes]])</f>
        <v>3.6/5-299</v>
      </c>
      <c r="J76">
        <v>300</v>
      </c>
      <c r="K76" t="s">
        <v>57</v>
      </c>
    </row>
    <row r="77" spans="1:11" x14ac:dyDescent="0.25">
      <c r="A77" t="s">
        <v>102</v>
      </c>
      <c r="B77">
        <f>LEN(Table1[[#This Row],[name]])</f>
        <v>21</v>
      </c>
      <c r="C77" t="str">
        <f>IF(Table1[[#This Row],[online_order]]="yes","online","ofline")</f>
        <v>ofline</v>
      </c>
      <c r="D77" t="s">
        <v>12</v>
      </c>
      <c r="E77" t="str">
        <f>IF(Table1[[#This Row],[book_table]]="Yes","Booking Avalibal","Fals")</f>
        <v>Fals</v>
      </c>
      <c r="F77" t="s">
        <v>12</v>
      </c>
      <c r="G77" t="s">
        <v>20</v>
      </c>
      <c r="H77">
        <v>0</v>
      </c>
      <c r="I77" t="str">
        <f>CONCATENATE(Table1[[#This Row],[rate]],"-",Table1[[#This Row],[votes]])</f>
        <v>3.6/5-0</v>
      </c>
      <c r="J77">
        <v>500</v>
      </c>
      <c r="K77" t="s">
        <v>57</v>
      </c>
    </row>
    <row r="78" spans="1:11" x14ac:dyDescent="0.25">
      <c r="A78" t="s">
        <v>103</v>
      </c>
      <c r="B78">
        <f>LEN(Table1[[#This Row],[name]])</f>
        <v>43</v>
      </c>
      <c r="C78" t="str">
        <f>IF(Table1[[#This Row],[online_order]]="yes","online","ofline")</f>
        <v>online</v>
      </c>
      <c r="D78" t="s">
        <v>8</v>
      </c>
      <c r="E78" t="str">
        <f>IF(Table1[[#This Row],[book_table]]="Yes","Booking Avalibal","Fals")</f>
        <v>Fals</v>
      </c>
      <c r="F78" t="s">
        <v>12</v>
      </c>
      <c r="G78" t="s">
        <v>9</v>
      </c>
      <c r="H78">
        <v>558</v>
      </c>
      <c r="I78" t="str">
        <f>CONCATENATE(Table1[[#This Row],[rate]],"-",Table1[[#This Row],[votes]])</f>
        <v>4.1/5-558</v>
      </c>
      <c r="J78">
        <v>150</v>
      </c>
      <c r="K78" t="s">
        <v>57</v>
      </c>
    </row>
    <row r="79" spans="1:11" x14ac:dyDescent="0.25">
      <c r="A79" t="s">
        <v>104</v>
      </c>
      <c r="B79">
        <f>LEN(Table1[[#This Row],[name]])</f>
        <v>27</v>
      </c>
      <c r="C79" t="str">
        <f>IF(Table1[[#This Row],[online_order]]="yes","online","ofline")</f>
        <v>online</v>
      </c>
      <c r="D79" t="s">
        <v>8</v>
      </c>
      <c r="E79" t="str">
        <f>IF(Table1[[#This Row],[book_table]]="Yes","Booking Avalibal","Fals")</f>
        <v>Fals</v>
      </c>
      <c r="F79" t="s">
        <v>12</v>
      </c>
      <c r="G79" t="s">
        <v>20</v>
      </c>
      <c r="H79">
        <v>28</v>
      </c>
      <c r="I79" t="str">
        <f>CONCATENATE(Table1[[#This Row],[rate]],"-",Table1[[#This Row],[votes]])</f>
        <v>3.6/5-28</v>
      </c>
      <c r="J79">
        <v>300</v>
      </c>
      <c r="K79" t="s">
        <v>57</v>
      </c>
    </row>
    <row r="80" spans="1:11" x14ac:dyDescent="0.25">
      <c r="A80" t="s">
        <v>105</v>
      </c>
      <c r="B80">
        <f>LEN(Table1[[#This Row],[name]])</f>
        <v>6</v>
      </c>
      <c r="C80" t="str">
        <f>IF(Table1[[#This Row],[online_order]]="yes","online","ofline")</f>
        <v>ofline</v>
      </c>
      <c r="D80" t="s">
        <v>12</v>
      </c>
      <c r="E80" t="str">
        <f>IF(Table1[[#This Row],[book_table]]="Yes","Booking Avalibal","Fals")</f>
        <v>Fals</v>
      </c>
      <c r="F80" t="s">
        <v>12</v>
      </c>
      <c r="G80" t="s">
        <v>16</v>
      </c>
      <c r="H80">
        <v>22</v>
      </c>
      <c r="I80" t="str">
        <f>CONCATENATE(Table1[[#This Row],[rate]],"-",Table1[[#This Row],[votes]])</f>
        <v>3.7/5-22</v>
      </c>
      <c r="J80">
        <v>500</v>
      </c>
      <c r="K80" t="s">
        <v>57</v>
      </c>
    </row>
    <row r="81" spans="1:11" x14ac:dyDescent="0.25">
      <c r="A81" t="s">
        <v>106</v>
      </c>
      <c r="B81">
        <f>LEN(Table1[[#This Row],[name]])</f>
        <v>12</v>
      </c>
      <c r="C81" t="str">
        <f>IF(Table1[[#This Row],[online_order]]="yes","online","ofline")</f>
        <v>ofline</v>
      </c>
      <c r="D81" t="s">
        <v>12</v>
      </c>
      <c r="E81" t="str">
        <f>IF(Table1[[#This Row],[book_table]]="Yes","Booking Avalibal","Fals")</f>
        <v>Fals</v>
      </c>
      <c r="F81" t="s">
        <v>12</v>
      </c>
      <c r="G81" t="s">
        <v>14</v>
      </c>
      <c r="H81">
        <v>39</v>
      </c>
      <c r="I81" t="str">
        <f>CONCATENATE(Table1[[#This Row],[rate]],"-",Table1[[#This Row],[votes]])</f>
        <v>3.8/5-39</v>
      </c>
      <c r="J81">
        <v>350</v>
      </c>
      <c r="K81" t="s">
        <v>57</v>
      </c>
    </row>
    <row r="82" spans="1:11" x14ac:dyDescent="0.25">
      <c r="A82" t="s">
        <v>107</v>
      </c>
      <c r="B82">
        <f>LEN(Table1[[#This Row],[name]])</f>
        <v>26</v>
      </c>
      <c r="C82" t="str">
        <f>IF(Table1[[#This Row],[online_order]]="yes","online","ofline")</f>
        <v>online</v>
      </c>
      <c r="D82" t="s">
        <v>8</v>
      </c>
      <c r="E82" t="str">
        <f>IF(Table1[[#This Row],[book_table]]="Yes","Booking Avalibal","Fals")</f>
        <v>Fals</v>
      </c>
      <c r="F82" t="s">
        <v>12</v>
      </c>
      <c r="G82" t="s">
        <v>14</v>
      </c>
      <c r="H82">
        <v>153</v>
      </c>
      <c r="I82" t="str">
        <f>CONCATENATE(Table1[[#This Row],[rate]],"-",Table1[[#This Row],[votes]])</f>
        <v>3.8/5-153</v>
      </c>
      <c r="J82">
        <v>500</v>
      </c>
      <c r="K82" t="s">
        <v>57</v>
      </c>
    </row>
    <row r="83" spans="1:11" x14ac:dyDescent="0.25">
      <c r="A83" t="s">
        <v>108</v>
      </c>
      <c r="B83">
        <f>LEN(Table1[[#This Row],[name]])</f>
        <v>13</v>
      </c>
      <c r="C83" t="str">
        <f>IF(Table1[[#This Row],[online_order]]="yes","online","ofline")</f>
        <v>online</v>
      </c>
      <c r="D83" t="s">
        <v>8</v>
      </c>
      <c r="E83" t="str">
        <f>IF(Table1[[#This Row],[book_table]]="Yes","Booking Avalibal","Fals")</f>
        <v>Fals</v>
      </c>
      <c r="F83" t="s">
        <v>12</v>
      </c>
      <c r="G83" t="s">
        <v>28</v>
      </c>
      <c r="H83">
        <v>146</v>
      </c>
      <c r="I83" t="str">
        <f>CONCATENATE(Table1[[#This Row],[rate]],"-",Table1[[#This Row],[votes]])</f>
        <v>4.2/5-146</v>
      </c>
      <c r="J83">
        <v>400</v>
      </c>
      <c r="K83" t="s">
        <v>57</v>
      </c>
    </row>
    <row r="84" spans="1:11" x14ac:dyDescent="0.25">
      <c r="A84" t="s">
        <v>109</v>
      </c>
      <c r="B84">
        <f>LEN(Table1[[#This Row],[name]])</f>
        <v>15</v>
      </c>
      <c r="C84" t="str">
        <f>IF(Table1[[#This Row],[online_order]]="yes","online","ofline")</f>
        <v>ofline</v>
      </c>
      <c r="D84" t="s">
        <v>12</v>
      </c>
      <c r="E84" t="str">
        <f>IF(Table1[[#This Row],[book_table]]="Yes","Booking Avalibal","Fals")</f>
        <v>Fals</v>
      </c>
      <c r="F84" t="s">
        <v>12</v>
      </c>
      <c r="G84" t="s">
        <v>110</v>
      </c>
      <c r="H84">
        <v>14</v>
      </c>
      <c r="I84" t="str">
        <f>CONCATENATE(Table1[[#This Row],[rate]],"-",Table1[[#This Row],[votes]])</f>
        <v>3.5/5-14</v>
      </c>
      <c r="J84">
        <v>200</v>
      </c>
      <c r="K84" t="s">
        <v>57</v>
      </c>
    </row>
    <row r="85" spans="1:11" x14ac:dyDescent="0.25">
      <c r="A85" t="s">
        <v>111</v>
      </c>
      <c r="B85">
        <f>LEN(Table1[[#This Row],[name]])</f>
        <v>15</v>
      </c>
      <c r="C85" t="str">
        <f>IF(Table1[[#This Row],[online_order]]="yes","online","ofline")</f>
        <v>ofline</v>
      </c>
      <c r="D85" t="s">
        <v>12</v>
      </c>
      <c r="E85" t="str">
        <f>IF(Table1[[#This Row],[book_table]]="Yes","Booking Avalibal","Fals")</f>
        <v>Fals</v>
      </c>
      <c r="F85" t="s">
        <v>12</v>
      </c>
      <c r="G85" t="s">
        <v>14</v>
      </c>
      <c r="H85">
        <v>42</v>
      </c>
      <c r="I85" t="str">
        <f>CONCATENATE(Table1[[#This Row],[rate]],"-",Table1[[#This Row],[votes]])</f>
        <v>3.8/5-42</v>
      </c>
      <c r="J85">
        <v>700</v>
      </c>
      <c r="K85" t="s">
        <v>57</v>
      </c>
    </row>
    <row r="86" spans="1:11" x14ac:dyDescent="0.25">
      <c r="A86" t="s">
        <v>112</v>
      </c>
      <c r="B86">
        <f>LEN(Table1[[#This Row],[name]])</f>
        <v>9</v>
      </c>
      <c r="C86" t="str">
        <f>IF(Table1[[#This Row],[online_order]]="yes","online","ofline")</f>
        <v>ofline</v>
      </c>
      <c r="D86" t="s">
        <v>12</v>
      </c>
      <c r="E86" t="str">
        <f>IF(Table1[[#This Row],[book_table]]="Yes","Booking Avalibal","Fals")</f>
        <v>Fals</v>
      </c>
      <c r="F86" t="s">
        <v>12</v>
      </c>
      <c r="G86" t="s">
        <v>14</v>
      </c>
      <c r="H86">
        <v>0</v>
      </c>
      <c r="I86" t="str">
        <f>CONCATENATE(Table1[[#This Row],[rate]],"-",Table1[[#This Row],[votes]])</f>
        <v>3.8/5-0</v>
      </c>
      <c r="J86">
        <v>100</v>
      </c>
      <c r="K86" t="s">
        <v>57</v>
      </c>
    </row>
    <row r="87" spans="1:11" x14ac:dyDescent="0.25">
      <c r="A87" t="s">
        <v>113</v>
      </c>
      <c r="B87">
        <f>LEN(Table1[[#This Row],[name]])</f>
        <v>15</v>
      </c>
      <c r="C87" t="str">
        <f>IF(Table1[[#This Row],[online_order]]="yes","online","ofline")</f>
        <v>ofline</v>
      </c>
      <c r="D87" t="s">
        <v>12</v>
      </c>
      <c r="E87" t="str">
        <f>IF(Table1[[#This Row],[book_table]]="Yes","Booking Avalibal","Fals")</f>
        <v>Fals</v>
      </c>
      <c r="F87" t="s">
        <v>12</v>
      </c>
      <c r="G87" t="s">
        <v>25</v>
      </c>
      <c r="H87">
        <v>66</v>
      </c>
      <c r="I87" t="str">
        <f>CONCATENATE(Table1[[#This Row],[rate]],"-",Table1[[#This Row],[votes]])</f>
        <v>4.0/5-66</v>
      </c>
      <c r="J87">
        <v>300</v>
      </c>
      <c r="K87" t="s">
        <v>57</v>
      </c>
    </row>
    <row r="88" spans="1:11" x14ac:dyDescent="0.25">
      <c r="A88" t="s">
        <v>114</v>
      </c>
      <c r="B88">
        <f>LEN(Table1[[#This Row],[name]])</f>
        <v>13</v>
      </c>
      <c r="C88" t="str">
        <f>IF(Table1[[#This Row],[online_order]]="yes","online","ofline")</f>
        <v>online</v>
      </c>
      <c r="D88" t="s">
        <v>8</v>
      </c>
      <c r="E88" t="str">
        <f>IF(Table1[[#This Row],[book_table]]="Yes","Booking Avalibal","Fals")</f>
        <v>Fals</v>
      </c>
      <c r="F88" t="s">
        <v>12</v>
      </c>
      <c r="G88" t="s">
        <v>64</v>
      </c>
      <c r="H88">
        <v>4401</v>
      </c>
      <c r="I88" t="str">
        <f>CONCATENATE(Table1[[#This Row],[rate]],"-",Table1[[#This Row],[votes]])</f>
        <v>4.4/5-4401</v>
      </c>
      <c r="J88">
        <v>600</v>
      </c>
      <c r="K88" t="s">
        <v>57</v>
      </c>
    </row>
    <row r="89" spans="1:11" x14ac:dyDescent="0.25">
      <c r="A89" t="s">
        <v>115</v>
      </c>
      <c r="B89">
        <f>LEN(Table1[[#This Row],[name]])</f>
        <v>13</v>
      </c>
      <c r="C89" t="str">
        <f>IF(Table1[[#This Row],[online_order]]="yes","online","ofline")</f>
        <v>ofline</v>
      </c>
      <c r="D89" t="s">
        <v>12</v>
      </c>
      <c r="E89" t="str">
        <f>IF(Table1[[#This Row],[book_table]]="Yes","Booking Avalibal","Fals")</f>
        <v>Fals</v>
      </c>
      <c r="F89" t="s">
        <v>12</v>
      </c>
      <c r="G89" t="s">
        <v>110</v>
      </c>
      <c r="H89">
        <v>31</v>
      </c>
      <c r="I89" t="str">
        <f>CONCATENATE(Table1[[#This Row],[rate]],"-",Table1[[#This Row],[votes]])</f>
        <v>3.5/5-31</v>
      </c>
      <c r="J89">
        <v>200</v>
      </c>
      <c r="K89" t="s">
        <v>57</v>
      </c>
    </row>
    <row r="90" spans="1:11" x14ac:dyDescent="0.25">
      <c r="A90" t="s">
        <v>116</v>
      </c>
      <c r="B90">
        <f>LEN(Table1[[#This Row],[name]])</f>
        <v>12</v>
      </c>
      <c r="C90" t="str">
        <f>IF(Table1[[#This Row],[online_order]]="yes","online","ofline")</f>
        <v>ofline</v>
      </c>
      <c r="D90" t="s">
        <v>12</v>
      </c>
      <c r="E90" t="str">
        <f>IF(Table1[[#This Row],[book_table]]="Yes","Booking Avalibal","Fals")</f>
        <v>Fals</v>
      </c>
      <c r="F90" t="s">
        <v>12</v>
      </c>
      <c r="G90" t="s">
        <v>110</v>
      </c>
      <c r="H90">
        <v>7</v>
      </c>
      <c r="I90" t="str">
        <f>CONCATENATE(Table1[[#This Row],[rate]],"-",Table1[[#This Row],[votes]])</f>
        <v>3.5/5-7</v>
      </c>
      <c r="J90">
        <v>500</v>
      </c>
      <c r="K90" t="s">
        <v>57</v>
      </c>
    </row>
    <row r="91" spans="1:11" x14ac:dyDescent="0.25">
      <c r="A91" t="s">
        <v>117</v>
      </c>
      <c r="B91">
        <f>LEN(Table1[[#This Row],[name]])</f>
        <v>28</v>
      </c>
      <c r="C91" t="str">
        <f>IF(Table1[[#This Row],[online_order]]="yes","online","ofline")</f>
        <v>ofline</v>
      </c>
      <c r="D91" t="s">
        <v>12</v>
      </c>
      <c r="E91" t="str">
        <f>IF(Table1[[#This Row],[book_table]]="Yes","Booking Avalibal","Fals")</f>
        <v>Fals</v>
      </c>
      <c r="F91" t="s">
        <v>12</v>
      </c>
      <c r="G91" t="s">
        <v>16</v>
      </c>
      <c r="H91">
        <v>21</v>
      </c>
      <c r="I91" t="str">
        <f>CONCATENATE(Table1[[#This Row],[rate]],"-",Table1[[#This Row],[votes]])</f>
        <v>3.7/5-21</v>
      </c>
      <c r="J91">
        <v>250</v>
      </c>
      <c r="K91" t="s">
        <v>57</v>
      </c>
    </row>
    <row r="92" spans="1:11" x14ac:dyDescent="0.25">
      <c r="A92" t="s">
        <v>118</v>
      </c>
      <c r="B92">
        <f>LEN(Table1[[#This Row],[name]])</f>
        <v>14</v>
      </c>
      <c r="C92" t="str">
        <f>IF(Table1[[#This Row],[online_order]]="yes","online","ofline")</f>
        <v>ofline</v>
      </c>
      <c r="D92" t="s">
        <v>12</v>
      </c>
      <c r="E92" t="str">
        <f>IF(Table1[[#This Row],[book_table]]="Yes","Booking Avalibal","Fals")</f>
        <v>Fals</v>
      </c>
      <c r="F92" t="s">
        <v>12</v>
      </c>
      <c r="G92" t="s">
        <v>16</v>
      </c>
      <c r="H92">
        <v>0</v>
      </c>
      <c r="I92" t="str">
        <f>CONCATENATE(Table1[[#This Row],[rate]],"-",Table1[[#This Row],[votes]])</f>
        <v>3.7/5-0</v>
      </c>
      <c r="J92">
        <v>500</v>
      </c>
      <c r="K92" t="s">
        <v>57</v>
      </c>
    </row>
    <row r="93" spans="1:11" x14ac:dyDescent="0.25">
      <c r="A93" t="s">
        <v>119</v>
      </c>
      <c r="B93">
        <f>LEN(Table1[[#This Row],[name]])</f>
        <v>7</v>
      </c>
      <c r="C93" t="str">
        <f>IF(Table1[[#This Row],[online_order]]="yes","online","ofline")</f>
        <v>ofline</v>
      </c>
      <c r="D93" t="s">
        <v>12</v>
      </c>
      <c r="E93" t="str">
        <f>IF(Table1[[#This Row],[book_table]]="Yes","Booking Avalibal","Fals")</f>
        <v>Fals</v>
      </c>
      <c r="F93" t="s">
        <v>12</v>
      </c>
      <c r="G93" t="s">
        <v>16</v>
      </c>
      <c r="H93">
        <v>0</v>
      </c>
      <c r="I93" t="str">
        <f>CONCATENATE(Table1[[#This Row],[rate]],"-",Table1[[#This Row],[votes]])</f>
        <v>3.7/5-0</v>
      </c>
      <c r="J93">
        <v>400</v>
      </c>
      <c r="K93" t="s">
        <v>57</v>
      </c>
    </row>
    <row r="94" spans="1:11" x14ac:dyDescent="0.25">
      <c r="A94" t="s">
        <v>120</v>
      </c>
      <c r="B94">
        <f>LEN(Table1[[#This Row],[name]])</f>
        <v>22</v>
      </c>
      <c r="C94" t="str">
        <f>IF(Table1[[#This Row],[online_order]]="yes","online","ofline")</f>
        <v>ofline</v>
      </c>
      <c r="D94" t="s">
        <v>12</v>
      </c>
      <c r="E94" t="str">
        <f>IF(Table1[[#This Row],[book_table]]="Yes","Booking Avalibal","Fals")</f>
        <v>Fals</v>
      </c>
      <c r="F94" t="s">
        <v>12</v>
      </c>
      <c r="G94" t="s">
        <v>16</v>
      </c>
      <c r="H94">
        <v>0</v>
      </c>
      <c r="I94" t="str">
        <f>CONCATENATE(Table1[[#This Row],[rate]],"-",Table1[[#This Row],[votes]])</f>
        <v>3.7/5-0</v>
      </c>
      <c r="J94">
        <v>200</v>
      </c>
      <c r="K94" t="s">
        <v>57</v>
      </c>
    </row>
    <row r="95" spans="1:11" x14ac:dyDescent="0.25">
      <c r="A95" t="s">
        <v>121</v>
      </c>
      <c r="B95">
        <f>LEN(Table1[[#This Row],[name]])</f>
        <v>27</v>
      </c>
      <c r="C95" t="str">
        <f>IF(Table1[[#This Row],[online_order]]="yes","online","ofline")</f>
        <v>ofline</v>
      </c>
      <c r="D95" t="s">
        <v>12</v>
      </c>
      <c r="E95" t="str">
        <f>IF(Table1[[#This Row],[book_table]]="Yes","Booking Avalibal","Fals")</f>
        <v>Fals</v>
      </c>
      <c r="F95" t="s">
        <v>12</v>
      </c>
      <c r="G95" t="s">
        <v>47</v>
      </c>
      <c r="H95">
        <v>9</v>
      </c>
      <c r="I95" t="str">
        <f>CONCATENATE(Table1[[#This Row],[rate]],"-",Table1[[#This Row],[votes]])</f>
        <v>3.2/5-9</v>
      </c>
      <c r="J95">
        <v>300</v>
      </c>
      <c r="K95" t="s">
        <v>57</v>
      </c>
    </row>
    <row r="96" spans="1:11" x14ac:dyDescent="0.25">
      <c r="A96" t="s">
        <v>122</v>
      </c>
      <c r="B96">
        <f>LEN(Table1[[#This Row],[name]])</f>
        <v>15</v>
      </c>
      <c r="C96" t="str">
        <f>IF(Table1[[#This Row],[online_order]]="yes","online","ofline")</f>
        <v>ofline</v>
      </c>
      <c r="D96" t="s">
        <v>12</v>
      </c>
      <c r="E96" t="str">
        <f>IF(Table1[[#This Row],[book_table]]="Yes","Booking Avalibal","Fals")</f>
        <v>Fals</v>
      </c>
      <c r="F96" t="s">
        <v>12</v>
      </c>
      <c r="G96" t="s">
        <v>123</v>
      </c>
      <c r="H96">
        <v>283</v>
      </c>
      <c r="I96" t="str">
        <f>CONCATENATE(Table1[[#This Row],[rate]],"-",Table1[[#This Row],[votes]])</f>
        <v>2.6/5-283</v>
      </c>
      <c r="J96">
        <v>600</v>
      </c>
      <c r="K96" t="s">
        <v>57</v>
      </c>
    </row>
    <row r="97" spans="1:11" x14ac:dyDescent="0.25">
      <c r="A97" t="s">
        <v>124</v>
      </c>
      <c r="B97">
        <f>LEN(Table1[[#This Row],[name]])</f>
        <v>26</v>
      </c>
      <c r="C97" t="str">
        <f>IF(Table1[[#This Row],[online_order]]="yes","online","ofline")</f>
        <v>ofline</v>
      </c>
      <c r="D97" t="s">
        <v>12</v>
      </c>
      <c r="E97" t="str">
        <f>IF(Table1[[#This Row],[book_table]]="Yes","Booking Avalibal","Fals")</f>
        <v>Fals</v>
      </c>
      <c r="F97" t="s">
        <v>12</v>
      </c>
      <c r="G97" t="s">
        <v>50</v>
      </c>
      <c r="H97">
        <v>62</v>
      </c>
      <c r="I97" t="str">
        <f>CONCATENATE(Table1[[#This Row],[rate]],"-",Table1[[#This Row],[votes]])</f>
        <v>3.3/5-62</v>
      </c>
      <c r="J97">
        <v>800</v>
      </c>
      <c r="K97" t="s">
        <v>57</v>
      </c>
    </row>
    <row r="98" spans="1:11" x14ac:dyDescent="0.25">
      <c r="A98" t="s">
        <v>125</v>
      </c>
      <c r="B98">
        <f>LEN(Table1[[#This Row],[name]])</f>
        <v>6</v>
      </c>
      <c r="C98" t="str">
        <f>IF(Table1[[#This Row],[online_order]]="yes","online","ofline")</f>
        <v>ofline</v>
      </c>
      <c r="D98" t="s">
        <v>12</v>
      </c>
      <c r="E98" t="str">
        <f>IF(Table1[[#This Row],[book_table]]="Yes","Booking Avalibal","Fals")</f>
        <v>Fals</v>
      </c>
      <c r="F98" t="s">
        <v>12</v>
      </c>
      <c r="G98" t="s">
        <v>14</v>
      </c>
      <c r="H98">
        <v>64</v>
      </c>
      <c r="I98" t="str">
        <f>CONCATENATE(Table1[[#This Row],[rate]],"-",Table1[[#This Row],[votes]])</f>
        <v>3.8/5-64</v>
      </c>
      <c r="J98">
        <v>250</v>
      </c>
      <c r="K98" t="s">
        <v>57</v>
      </c>
    </row>
    <row r="99" spans="1:11" x14ac:dyDescent="0.25">
      <c r="A99" t="s">
        <v>126</v>
      </c>
      <c r="B99">
        <f>LEN(Table1[[#This Row],[name]])</f>
        <v>20</v>
      </c>
      <c r="C99" t="str">
        <f>IF(Table1[[#This Row],[online_order]]="yes","online","ofline")</f>
        <v>ofline</v>
      </c>
      <c r="D99" t="s">
        <v>12</v>
      </c>
      <c r="E99" t="str">
        <f>IF(Table1[[#This Row],[book_table]]="Yes","Booking Avalibal","Fals")</f>
        <v>Fals</v>
      </c>
      <c r="F99" t="s">
        <v>12</v>
      </c>
      <c r="G99" t="s">
        <v>16</v>
      </c>
      <c r="H99">
        <v>39</v>
      </c>
      <c r="I99" t="str">
        <f>CONCATENATE(Table1[[#This Row],[rate]],"-",Table1[[#This Row],[votes]])</f>
        <v>3.7/5-39</v>
      </c>
      <c r="J99">
        <v>950</v>
      </c>
      <c r="K99" t="s">
        <v>57</v>
      </c>
    </row>
    <row r="100" spans="1:11" x14ac:dyDescent="0.25">
      <c r="A100" t="s">
        <v>127</v>
      </c>
      <c r="B100">
        <f>LEN(Table1[[#This Row],[name]])</f>
        <v>12</v>
      </c>
      <c r="C100" t="str">
        <f>IF(Table1[[#This Row],[online_order]]="yes","online","ofline")</f>
        <v>ofline</v>
      </c>
      <c r="D100" t="s">
        <v>12</v>
      </c>
      <c r="E100" t="str">
        <f>IF(Table1[[#This Row],[book_table]]="Yes","Booking Avalibal","Fals")</f>
        <v>Fals</v>
      </c>
      <c r="F100" t="s">
        <v>12</v>
      </c>
      <c r="G100" t="s">
        <v>16</v>
      </c>
      <c r="H100">
        <v>65</v>
      </c>
      <c r="I100" t="str">
        <f>CONCATENATE(Table1[[#This Row],[rate]],"-",Table1[[#This Row],[votes]])</f>
        <v>3.7/5-65</v>
      </c>
      <c r="J100">
        <v>300</v>
      </c>
      <c r="K100" t="s">
        <v>57</v>
      </c>
    </row>
    <row r="101" spans="1:11" x14ac:dyDescent="0.25">
      <c r="A101" t="s">
        <v>128</v>
      </c>
      <c r="B101">
        <f>LEN(Table1[[#This Row],[name]])</f>
        <v>10</v>
      </c>
      <c r="C101" t="str">
        <f>IF(Table1[[#This Row],[online_order]]="yes","online","ofline")</f>
        <v>online</v>
      </c>
      <c r="D101" t="s">
        <v>8</v>
      </c>
      <c r="E101" t="str">
        <f>IF(Table1[[#This Row],[book_table]]="Yes","Booking Avalibal","Fals")</f>
        <v>Fals</v>
      </c>
      <c r="F101" t="s">
        <v>12</v>
      </c>
      <c r="G101" t="s">
        <v>14</v>
      </c>
      <c r="H101">
        <v>71</v>
      </c>
      <c r="I101" t="str">
        <f>CONCATENATE(Table1[[#This Row],[rate]],"-",Table1[[#This Row],[votes]])</f>
        <v>3.8/5-71</v>
      </c>
      <c r="J101">
        <v>400</v>
      </c>
      <c r="K101" t="s">
        <v>57</v>
      </c>
    </row>
    <row r="102" spans="1:11" x14ac:dyDescent="0.25">
      <c r="A102" t="s">
        <v>129</v>
      </c>
      <c r="B102">
        <f>LEN(Table1[[#This Row],[name]])</f>
        <v>17</v>
      </c>
      <c r="C102" t="str">
        <f>IF(Table1[[#This Row],[online_order]]="yes","online","ofline")</f>
        <v>ofline</v>
      </c>
      <c r="D102" t="s">
        <v>12</v>
      </c>
      <c r="E102" t="str">
        <f>IF(Table1[[#This Row],[book_table]]="Yes","Booking Avalibal","Fals")</f>
        <v>Fals</v>
      </c>
      <c r="F102" t="s">
        <v>12</v>
      </c>
      <c r="G102" t="s">
        <v>110</v>
      </c>
      <c r="H102">
        <v>52</v>
      </c>
      <c r="I102" t="str">
        <f>CONCATENATE(Table1[[#This Row],[rate]],"-",Table1[[#This Row],[votes]])</f>
        <v>3.5/5-52</v>
      </c>
      <c r="J102">
        <v>300</v>
      </c>
      <c r="K102" t="s">
        <v>57</v>
      </c>
    </row>
    <row r="103" spans="1:11" x14ac:dyDescent="0.25">
      <c r="A103" t="s">
        <v>130</v>
      </c>
      <c r="B103">
        <f>LEN(Table1[[#This Row],[name]])</f>
        <v>11</v>
      </c>
      <c r="C103" t="str">
        <f>IF(Table1[[#This Row],[online_order]]="yes","online","ofline")</f>
        <v>ofline</v>
      </c>
      <c r="D103" t="s">
        <v>12</v>
      </c>
      <c r="E103" t="str">
        <f>IF(Table1[[#This Row],[book_table]]="Yes","Booking Avalibal","Fals")</f>
        <v>Fals</v>
      </c>
      <c r="F103" t="s">
        <v>12</v>
      </c>
      <c r="G103" t="s">
        <v>16</v>
      </c>
      <c r="H103">
        <v>130</v>
      </c>
      <c r="I103" t="str">
        <f>CONCATENATE(Table1[[#This Row],[rate]],"-",Table1[[#This Row],[votes]])</f>
        <v>3.7/5-130</v>
      </c>
      <c r="J103">
        <v>200</v>
      </c>
      <c r="K103" t="s">
        <v>57</v>
      </c>
    </row>
    <row r="104" spans="1:11" x14ac:dyDescent="0.25">
      <c r="A104" t="s">
        <v>131</v>
      </c>
      <c r="B104">
        <f>LEN(Table1[[#This Row],[name]])</f>
        <v>26</v>
      </c>
      <c r="C104" t="str">
        <f>IF(Table1[[#This Row],[online_order]]="yes","online","ofline")</f>
        <v>ofline</v>
      </c>
      <c r="D104" t="s">
        <v>12</v>
      </c>
      <c r="E104" t="str">
        <f>IF(Table1[[#This Row],[book_table]]="Yes","Booking Avalibal","Fals")</f>
        <v>Fals</v>
      </c>
      <c r="F104" t="s">
        <v>12</v>
      </c>
      <c r="G104" t="s">
        <v>110</v>
      </c>
      <c r="H104">
        <v>10</v>
      </c>
      <c r="I104" t="str">
        <f>CONCATENATE(Table1[[#This Row],[rate]],"-",Table1[[#This Row],[votes]])</f>
        <v>3.5/5-10</v>
      </c>
      <c r="J104">
        <v>300</v>
      </c>
      <c r="K104" t="s">
        <v>57</v>
      </c>
    </row>
    <row r="105" spans="1:11" x14ac:dyDescent="0.25">
      <c r="A105" t="s">
        <v>132</v>
      </c>
      <c r="B105">
        <f>LEN(Table1[[#This Row],[name]])</f>
        <v>23</v>
      </c>
      <c r="C105" t="str">
        <f>IF(Table1[[#This Row],[online_order]]="yes","online","ofline")</f>
        <v>ofline</v>
      </c>
      <c r="D105" t="s">
        <v>12</v>
      </c>
      <c r="E105" t="str">
        <f>IF(Table1[[#This Row],[book_table]]="Yes","Booking Avalibal","Fals")</f>
        <v>Fals</v>
      </c>
      <c r="F105" t="s">
        <v>12</v>
      </c>
      <c r="G105" t="s">
        <v>133</v>
      </c>
      <c r="H105">
        <v>45</v>
      </c>
      <c r="I105" t="str">
        <f>CONCATENATE(Table1[[#This Row],[rate]],"-",Table1[[#This Row],[votes]])</f>
        <v>3.8 /5-45</v>
      </c>
      <c r="J105">
        <v>400</v>
      </c>
      <c r="K105" t="s">
        <v>57</v>
      </c>
    </row>
    <row r="106" spans="1:11" x14ac:dyDescent="0.25">
      <c r="A106" t="s">
        <v>46</v>
      </c>
      <c r="B106">
        <f>LEN(Table1[[#This Row],[name]])</f>
        <v>9</v>
      </c>
      <c r="C106" t="str">
        <f>IF(Table1[[#This Row],[online_order]]="yes","online","ofline")</f>
        <v>ofline</v>
      </c>
      <c r="D106" t="s">
        <v>12</v>
      </c>
      <c r="E106" t="str">
        <f>IF(Table1[[#This Row],[book_table]]="Yes","Booking Avalibal","Fals")</f>
        <v>Fals</v>
      </c>
      <c r="F106" t="s">
        <v>12</v>
      </c>
      <c r="G106" t="s">
        <v>47</v>
      </c>
      <c r="H106">
        <v>11</v>
      </c>
      <c r="I106" t="str">
        <f>CONCATENATE(Table1[[#This Row],[rate]],"-",Table1[[#This Row],[votes]])</f>
        <v>3.2/5-11</v>
      </c>
      <c r="J106">
        <v>600</v>
      </c>
      <c r="K106" t="s">
        <v>57</v>
      </c>
    </row>
    <row r="107" spans="1:11" x14ac:dyDescent="0.25">
      <c r="A107" t="s">
        <v>134</v>
      </c>
      <c r="B107">
        <f>LEN(Table1[[#This Row],[name]])</f>
        <v>14</v>
      </c>
      <c r="C107" t="str">
        <f>IF(Table1[[#This Row],[online_order]]="yes","online","ofline")</f>
        <v>ofline</v>
      </c>
      <c r="D107" t="s">
        <v>12</v>
      </c>
      <c r="E107" t="str">
        <f>IF(Table1[[#This Row],[book_table]]="Yes","Booking Avalibal","Fals")</f>
        <v>Fals</v>
      </c>
      <c r="F107" t="s">
        <v>12</v>
      </c>
      <c r="G107" t="s">
        <v>110</v>
      </c>
      <c r="H107">
        <v>13</v>
      </c>
      <c r="I107" t="str">
        <f>CONCATENATE(Table1[[#This Row],[rate]],"-",Table1[[#This Row],[votes]])</f>
        <v>3.5/5-13</v>
      </c>
      <c r="J107">
        <v>300</v>
      </c>
      <c r="K107" t="s">
        <v>57</v>
      </c>
    </row>
    <row r="108" spans="1:11" x14ac:dyDescent="0.25">
      <c r="A108" t="s">
        <v>135</v>
      </c>
      <c r="B108">
        <f>LEN(Table1[[#This Row],[name]])</f>
        <v>7</v>
      </c>
      <c r="C108" t="str">
        <f>IF(Table1[[#This Row],[online_order]]="yes","online","ofline")</f>
        <v>ofline</v>
      </c>
      <c r="D108" t="s">
        <v>12</v>
      </c>
      <c r="E108" t="str">
        <f>IF(Table1[[#This Row],[book_table]]="Yes","Booking Avalibal","Fals")</f>
        <v>Fals</v>
      </c>
      <c r="F108" t="s">
        <v>12</v>
      </c>
      <c r="G108" t="s">
        <v>136</v>
      </c>
      <c r="H108">
        <v>8</v>
      </c>
      <c r="I108" t="str">
        <f>CONCATENATE(Table1[[#This Row],[rate]],"-",Table1[[#This Row],[votes]])</f>
        <v>3.4/5-8</v>
      </c>
      <c r="J108">
        <v>300</v>
      </c>
      <c r="K108" t="s">
        <v>57</v>
      </c>
    </row>
    <row r="109" spans="1:11" x14ac:dyDescent="0.25">
      <c r="A109" t="s">
        <v>137</v>
      </c>
      <c r="B109">
        <f>LEN(Table1[[#This Row],[name]])</f>
        <v>13</v>
      </c>
      <c r="C109" t="str">
        <f>IF(Table1[[#This Row],[online_order]]="yes","online","ofline")</f>
        <v>ofline</v>
      </c>
      <c r="D109" t="s">
        <v>12</v>
      </c>
      <c r="E109" t="str">
        <f>IF(Table1[[#This Row],[book_table]]="Yes","Booking Avalibal","Fals")</f>
        <v>Fals</v>
      </c>
      <c r="F109" t="s">
        <v>12</v>
      </c>
      <c r="G109" t="s">
        <v>136</v>
      </c>
      <c r="H109">
        <v>0</v>
      </c>
      <c r="I109" t="str">
        <f>CONCATENATE(Table1[[#This Row],[rate]],"-",Table1[[#This Row],[votes]])</f>
        <v>3.4/5-0</v>
      </c>
      <c r="J109">
        <v>250</v>
      </c>
      <c r="K109" t="s">
        <v>57</v>
      </c>
    </row>
    <row r="110" spans="1:11" x14ac:dyDescent="0.25">
      <c r="A110" t="s">
        <v>138</v>
      </c>
      <c r="B110">
        <f>LEN(Table1[[#This Row],[name]])</f>
        <v>28</v>
      </c>
      <c r="C110" t="str">
        <f>IF(Table1[[#This Row],[online_order]]="yes","online","ofline")</f>
        <v>ofline</v>
      </c>
      <c r="D110" t="s">
        <v>12</v>
      </c>
      <c r="E110" t="str">
        <f>IF(Table1[[#This Row],[book_table]]="Yes","Booking Avalibal","Fals")</f>
        <v>Fals</v>
      </c>
      <c r="F110" t="s">
        <v>12</v>
      </c>
      <c r="G110" t="s">
        <v>47</v>
      </c>
      <c r="H110">
        <v>9</v>
      </c>
      <c r="I110" t="str">
        <f>CONCATENATE(Table1[[#This Row],[rate]],"-",Table1[[#This Row],[votes]])</f>
        <v>3.2/5-9</v>
      </c>
      <c r="J110">
        <v>300</v>
      </c>
      <c r="K110" t="s">
        <v>57</v>
      </c>
    </row>
    <row r="111" spans="1:11" x14ac:dyDescent="0.25">
      <c r="A111" t="s">
        <v>139</v>
      </c>
      <c r="B111">
        <f>LEN(Table1[[#This Row],[name]])</f>
        <v>24</v>
      </c>
      <c r="C111" t="str">
        <f>IF(Table1[[#This Row],[online_order]]="yes","online","ofline")</f>
        <v>ofline</v>
      </c>
      <c r="D111" t="s">
        <v>12</v>
      </c>
      <c r="E111" t="str">
        <f>IF(Table1[[#This Row],[book_table]]="Yes","Booking Avalibal","Fals")</f>
        <v>Fals</v>
      </c>
      <c r="F111" t="s">
        <v>12</v>
      </c>
      <c r="G111" t="s">
        <v>47</v>
      </c>
      <c r="H111">
        <v>4</v>
      </c>
      <c r="I111" t="str">
        <f>CONCATENATE(Table1[[#This Row],[rate]],"-",Table1[[#This Row],[votes]])</f>
        <v>3.2/5-4</v>
      </c>
      <c r="J111">
        <v>300</v>
      </c>
      <c r="K111" t="s">
        <v>57</v>
      </c>
    </row>
    <row r="112" spans="1:11" x14ac:dyDescent="0.25">
      <c r="A112" t="s">
        <v>140</v>
      </c>
      <c r="B112">
        <f>LEN(Table1[[#This Row],[name]])</f>
        <v>19</v>
      </c>
      <c r="C112" t="str">
        <f>IF(Table1[[#This Row],[online_order]]="yes","online","ofline")</f>
        <v>ofline</v>
      </c>
      <c r="D112" t="s">
        <v>12</v>
      </c>
      <c r="E112" t="str">
        <f>IF(Table1[[#This Row],[book_table]]="Yes","Booking Avalibal","Fals")</f>
        <v>Fals</v>
      </c>
      <c r="F112" t="s">
        <v>12</v>
      </c>
      <c r="G112" t="s">
        <v>47</v>
      </c>
      <c r="H112">
        <v>0</v>
      </c>
      <c r="I112" t="str">
        <f>CONCATENATE(Table1[[#This Row],[rate]],"-",Table1[[#This Row],[votes]])</f>
        <v>3.2/5-0</v>
      </c>
      <c r="J112">
        <v>200</v>
      </c>
      <c r="K112" t="s">
        <v>57</v>
      </c>
    </row>
    <row r="113" spans="1:11" x14ac:dyDescent="0.25">
      <c r="A113" t="s">
        <v>141</v>
      </c>
      <c r="B113">
        <f>LEN(Table1[[#This Row],[name]])</f>
        <v>26</v>
      </c>
      <c r="C113" t="str">
        <f>IF(Table1[[#This Row],[online_order]]="yes","online","ofline")</f>
        <v>ofline</v>
      </c>
      <c r="D113" t="s">
        <v>12</v>
      </c>
      <c r="E113" t="str">
        <f>IF(Table1[[#This Row],[book_table]]="Yes","Booking Avalibal","Fals")</f>
        <v>Fals</v>
      </c>
      <c r="F113" t="s">
        <v>12</v>
      </c>
      <c r="G113" t="s">
        <v>39</v>
      </c>
      <c r="H113">
        <v>29</v>
      </c>
      <c r="I113" t="str">
        <f>CONCATENATE(Table1[[#This Row],[rate]],"-",Table1[[#This Row],[votes]])</f>
        <v>3.1/5-29</v>
      </c>
      <c r="J113">
        <v>150</v>
      </c>
      <c r="K113" t="s">
        <v>57</v>
      </c>
    </row>
    <row r="114" spans="1:11" x14ac:dyDescent="0.25">
      <c r="A114" t="s">
        <v>142</v>
      </c>
      <c r="B114">
        <f>LEN(Table1[[#This Row],[name]])</f>
        <v>9</v>
      </c>
      <c r="C114" t="str">
        <f>IF(Table1[[#This Row],[online_order]]="yes","online","ofline")</f>
        <v>ofline</v>
      </c>
      <c r="D114" t="s">
        <v>12</v>
      </c>
      <c r="E114" t="str">
        <f>IF(Table1[[#This Row],[book_table]]="Yes","Booking Avalibal","Fals")</f>
        <v>Fals</v>
      </c>
      <c r="F114" t="s">
        <v>12</v>
      </c>
      <c r="G114" t="s">
        <v>136</v>
      </c>
      <c r="H114">
        <v>8</v>
      </c>
      <c r="I114" t="str">
        <f>CONCATENATE(Table1[[#This Row],[rate]],"-",Table1[[#This Row],[votes]])</f>
        <v>3.4/5-8</v>
      </c>
      <c r="J114">
        <v>400</v>
      </c>
      <c r="K114" t="s">
        <v>57</v>
      </c>
    </row>
    <row r="115" spans="1:11" x14ac:dyDescent="0.25">
      <c r="A115" t="s">
        <v>143</v>
      </c>
      <c r="B115">
        <f>LEN(Table1[[#This Row],[name]])</f>
        <v>32</v>
      </c>
      <c r="C115" t="str">
        <f>IF(Table1[[#This Row],[online_order]]="yes","online","ofline")</f>
        <v>ofline</v>
      </c>
      <c r="D115" t="s">
        <v>12</v>
      </c>
      <c r="E115" t="str">
        <f>IF(Table1[[#This Row],[book_table]]="Yes","Booking Avalibal","Fals")</f>
        <v>Fals</v>
      </c>
      <c r="F115" t="s">
        <v>12</v>
      </c>
      <c r="G115" t="s">
        <v>136</v>
      </c>
      <c r="H115">
        <v>0</v>
      </c>
      <c r="I115" t="str">
        <f>CONCATENATE(Table1[[#This Row],[rate]],"-",Table1[[#This Row],[votes]])</f>
        <v>3.4/5-0</v>
      </c>
      <c r="J115">
        <v>150</v>
      </c>
      <c r="K115" t="s">
        <v>57</v>
      </c>
    </row>
    <row r="116" spans="1:11" x14ac:dyDescent="0.25">
      <c r="A116" t="s">
        <v>144</v>
      </c>
      <c r="B116">
        <f>LEN(Table1[[#This Row],[name]])</f>
        <v>9</v>
      </c>
      <c r="C116" t="str">
        <f>IF(Table1[[#This Row],[online_order]]="yes","online","ofline")</f>
        <v>ofline</v>
      </c>
      <c r="D116" t="s">
        <v>12</v>
      </c>
      <c r="E116" t="str">
        <f>IF(Table1[[#This Row],[book_table]]="Yes","Booking Avalibal","Fals")</f>
        <v>Fals</v>
      </c>
      <c r="F116" t="s">
        <v>12</v>
      </c>
      <c r="G116" t="s">
        <v>136</v>
      </c>
      <c r="H116">
        <v>0</v>
      </c>
      <c r="I116" t="str">
        <f>CONCATENATE(Table1[[#This Row],[rate]],"-",Table1[[#This Row],[votes]])</f>
        <v>3.4/5-0</v>
      </c>
      <c r="J116">
        <v>300</v>
      </c>
      <c r="K116" t="s">
        <v>57</v>
      </c>
    </row>
    <row r="117" spans="1:11" x14ac:dyDescent="0.25">
      <c r="A117" t="s">
        <v>145</v>
      </c>
      <c r="B117">
        <f>LEN(Table1[[#This Row],[name]])</f>
        <v>19</v>
      </c>
      <c r="C117" t="str">
        <f>IF(Table1[[#This Row],[online_order]]="yes","online","ofline")</f>
        <v>ofline</v>
      </c>
      <c r="D117" t="s">
        <v>12</v>
      </c>
      <c r="E117" t="str">
        <f>IF(Table1[[#This Row],[book_table]]="Yes","Booking Avalibal","Fals")</f>
        <v>Fals</v>
      </c>
      <c r="F117" t="s">
        <v>12</v>
      </c>
      <c r="G117" t="s">
        <v>136</v>
      </c>
      <c r="H117">
        <v>0</v>
      </c>
      <c r="I117" t="str">
        <f>CONCATENATE(Table1[[#This Row],[rate]],"-",Table1[[#This Row],[votes]])</f>
        <v>3.4/5-0</v>
      </c>
      <c r="J117">
        <v>200</v>
      </c>
      <c r="K117" t="s">
        <v>57</v>
      </c>
    </row>
    <row r="118" spans="1:11" x14ac:dyDescent="0.25">
      <c r="A118" t="s">
        <v>146</v>
      </c>
      <c r="B118">
        <f>LEN(Table1[[#This Row],[name]])</f>
        <v>10</v>
      </c>
      <c r="C118" t="str">
        <f>IF(Table1[[#This Row],[online_order]]="yes","online","ofline")</f>
        <v>ofline</v>
      </c>
      <c r="D118" t="s">
        <v>12</v>
      </c>
      <c r="E118" t="str">
        <f>IF(Table1[[#This Row],[book_table]]="Yes","Booking Avalibal","Fals")</f>
        <v>Fals</v>
      </c>
      <c r="F118" t="s">
        <v>12</v>
      </c>
      <c r="G118" t="s">
        <v>136</v>
      </c>
      <c r="H118">
        <v>0</v>
      </c>
      <c r="I118" t="str">
        <f>CONCATENATE(Table1[[#This Row],[rate]],"-",Table1[[#This Row],[votes]])</f>
        <v>3.4/5-0</v>
      </c>
      <c r="J118">
        <v>150</v>
      </c>
      <c r="K118" t="s">
        <v>57</v>
      </c>
    </row>
    <row r="119" spans="1:11" x14ac:dyDescent="0.25">
      <c r="A119" t="s">
        <v>147</v>
      </c>
      <c r="B119">
        <f>LEN(Table1[[#This Row],[name]])</f>
        <v>12</v>
      </c>
      <c r="C119" t="str">
        <f>IF(Table1[[#This Row],[online_order]]="yes","online","ofline")</f>
        <v>ofline</v>
      </c>
      <c r="D119" t="s">
        <v>12</v>
      </c>
      <c r="E119" t="str">
        <f>IF(Table1[[#This Row],[book_table]]="Yes","Booking Avalibal","Fals")</f>
        <v>Fals</v>
      </c>
      <c r="F119" t="s">
        <v>12</v>
      </c>
      <c r="G119" t="s">
        <v>136</v>
      </c>
      <c r="H119">
        <v>0</v>
      </c>
      <c r="I119" t="str">
        <f>CONCATENATE(Table1[[#This Row],[rate]],"-",Table1[[#This Row],[votes]])</f>
        <v>3.4/5-0</v>
      </c>
      <c r="J119">
        <v>150</v>
      </c>
      <c r="K119" t="s">
        <v>57</v>
      </c>
    </row>
    <row r="120" spans="1:11" x14ac:dyDescent="0.25">
      <c r="A120" t="s">
        <v>148</v>
      </c>
      <c r="B120">
        <f>LEN(Table1[[#This Row],[name]])</f>
        <v>19</v>
      </c>
      <c r="C120" t="str">
        <f>IF(Table1[[#This Row],[online_order]]="yes","online","ofline")</f>
        <v>ofline</v>
      </c>
      <c r="D120" t="s">
        <v>12</v>
      </c>
      <c r="E120" t="str">
        <f>IF(Table1[[#This Row],[book_table]]="Yes","Booking Avalibal","Fals")</f>
        <v>Fals</v>
      </c>
      <c r="F120" t="s">
        <v>12</v>
      </c>
      <c r="G120" t="s">
        <v>136</v>
      </c>
      <c r="H120">
        <v>0</v>
      </c>
      <c r="I120" t="str">
        <f>CONCATENATE(Table1[[#This Row],[rate]],"-",Table1[[#This Row],[votes]])</f>
        <v>3.4/5-0</v>
      </c>
      <c r="J120">
        <v>250</v>
      </c>
      <c r="K120" t="s">
        <v>57</v>
      </c>
    </row>
    <row r="121" spans="1:11" x14ac:dyDescent="0.25">
      <c r="A121" t="s">
        <v>149</v>
      </c>
      <c r="B121">
        <f>LEN(Table1[[#This Row],[name]])</f>
        <v>13</v>
      </c>
      <c r="C121" t="str">
        <f>IF(Table1[[#This Row],[online_order]]="yes","online","ofline")</f>
        <v>ofline</v>
      </c>
      <c r="D121" t="s">
        <v>12</v>
      </c>
      <c r="E121" t="str">
        <f>IF(Table1[[#This Row],[book_table]]="Yes","Booking Avalibal","Fals")</f>
        <v>Fals</v>
      </c>
      <c r="F121" t="s">
        <v>12</v>
      </c>
      <c r="G121" t="s">
        <v>39</v>
      </c>
      <c r="H121">
        <v>30</v>
      </c>
      <c r="I121" t="str">
        <f>CONCATENATE(Table1[[#This Row],[rate]],"-",Table1[[#This Row],[votes]])</f>
        <v>3.1/5-30</v>
      </c>
      <c r="J121">
        <v>900</v>
      </c>
      <c r="K121" t="s">
        <v>57</v>
      </c>
    </row>
    <row r="122" spans="1:11" x14ac:dyDescent="0.25">
      <c r="A122" t="s">
        <v>150</v>
      </c>
      <c r="B122">
        <f>LEN(Table1[[#This Row],[name]])</f>
        <v>22</v>
      </c>
      <c r="C122" t="str">
        <f>IF(Table1[[#This Row],[online_order]]="yes","online","ofline")</f>
        <v>online</v>
      </c>
      <c r="D122" t="s">
        <v>8</v>
      </c>
      <c r="E122" t="str">
        <f>IF(Table1[[#This Row],[book_table]]="Yes","Booking Avalibal","Fals")</f>
        <v>Fals</v>
      </c>
      <c r="F122" t="s">
        <v>12</v>
      </c>
      <c r="G122" t="s">
        <v>9</v>
      </c>
      <c r="H122">
        <v>201</v>
      </c>
      <c r="I122" t="str">
        <f>CONCATENATE(Table1[[#This Row],[rate]],"-",Table1[[#This Row],[votes]])</f>
        <v>4.1/5-201</v>
      </c>
      <c r="J122">
        <v>300</v>
      </c>
      <c r="K122" t="s">
        <v>57</v>
      </c>
    </row>
    <row r="123" spans="1:11" x14ac:dyDescent="0.25">
      <c r="A123" t="s">
        <v>151</v>
      </c>
      <c r="B123">
        <f>LEN(Table1[[#This Row],[name]])</f>
        <v>24</v>
      </c>
      <c r="C123" t="str">
        <f>IF(Table1[[#This Row],[online_order]]="yes","online","ofline")</f>
        <v>ofline</v>
      </c>
      <c r="D123" t="s">
        <v>12</v>
      </c>
      <c r="E123" t="str">
        <f>IF(Table1[[#This Row],[book_table]]="Yes","Booking Avalibal","Fals")</f>
        <v>Fals</v>
      </c>
      <c r="F123" t="s">
        <v>12</v>
      </c>
      <c r="G123" t="s">
        <v>50</v>
      </c>
      <c r="H123">
        <v>7</v>
      </c>
      <c r="I123" t="str">
        <f>CONCATENATE(Table1[[#This Row],[rate]],"-",Table1[[#This Row],[votes]])</f>
        <v>3.3/5-7</v>
      </c>
      <c r="J123">
        <v>200</v>
      </c>
      <c r="K123" t="s">
        <v>57</v>
      </c>
    </row>
    <row r="124" spans="1:11" x14ac:dyDescent="0.25">
      <c r="A124" t="s">
        <v>152</v>
      </c>
      <c r="B124">
        <f>LEN(Table1[[#This Row],[name]])</f>
        <v>12</v>
      </c>
      <c r="C124" t="str">
        <f>IF(Table1[[#This Row],[online_order]]="yes","online","ofline")</f>
        <v>ofline</v>
      </c>
      <c r="D124" t="s">
        <v>12</v>
      </c>
      <c r="E124" t="str">
        <f>IF(Table1[[#This Row],[book_table]]="Yes","Booking Avalibal","Fals")</f>
        <v>Fals</v>
      </c>
      <c r="F124" t="s">
        <v>12</v>
      </c>
      <c r="G124" t="s">
        <v>39</v>
      </c>
      <c r="H124">
        <v>6</v>
      </c>
      <c r="I124" t="str">
        <f>CONCATENATE(Table1[[#This Row],[rate]],"-",Table1[[#This Row],[votes]])</f>
        <v>3.1/5-6</v>
      </c>
      <c r="J124">
        <v>100</v>
      </c>
      <c r="K124" t="s">
        <v>57</v>
      </c>
    </row>
    <row r="125" spans="1:11" x14ac:dyDescent="0.25">
      <c r="A125" t="s">
        <v>153</v>
      </c>
      <c r="B125">
        <f>LEN(Table1[[#This Row],[name]])</f>
        <v>18</v>
      </c>
      <c r="C125" t="str">
        <f>IF(Table1[[#This Row],[online_order]]="yes","online","ofline")</f>
        <v>ofline</v>
      </c>
      <c r="D125" t="s">
        <v>12</v>
      </c>
      <c r="E125" t="str">
        <f>IF(Table1[[#This Row],[book_table]]="Yes","Booking Avalibal","Fals")</f>
        <v>Fals</v>
      </c>
      <c r="F125" t="s">
        <v>12</v>
      </c>
      <c r="G125" t="s">
        <v>50</v>
      </c>
      <c r="H125">
        <v>17</v>
      </c>
      <c r="I125" t="str">
        <f>CONCATENATE(Table1[[#This Row],[rate]],"-",Table1[[#This Row],[votes]])</f>
        <v>3.3/5-17</v>
      </c>
      <c r="J125">
        <v>200</v>
      </c>
      <c r="K125" t="s">
        <v>57</v>
      </c>
    </row>
    <row r="126" spans="1:11" x14ac:dyDescent="0.25">
      <c r="A126" t="s">
        <v>154</v>
      </c>
      <c r="B126">
        <f>LEN(Table1[[#This Row],[name]])</f>
        <v>40</v>
      </c>
      <c r="C126" t="str">
        <f>IF(Table1[[#This Row],[online_order]]="yes","online","ofline")</f>
        <v>ofline</v>
      </c>
      <c r="D126" t="s">
        <v>12</v>
      </c>
      <c r="E126" t="str">
        <f>IF(Table1[[#This Row],[book_table]]="Yes","Booking Avalibal","Fals")</f>
        <v>Fals</v>
      </c>
      <c r="F126" t="s">
        <v>12</v>
      </c>
      <c r="G126" t="s">
        <v>100</v>
      </c>
      <c r="H126">
        <v>25</v>
      </c>
      <c r="I126" t="str">
        <f>CONCATENATE(Table1[[#This Row],[rate]],"-",Table1[[#This Row],[votes]])</f>
        <v>2.9/5-25</v>
      </c>
      <c r="J126">
        <v>200</v>
      </c>
      <c r="K126" t="s">
        <v>57</v>
      </c>
    </row>
    <row r="127" spans="1:11" x14ac:dyDescent="0.25">
      <c r="A127" t="s">
        <v>155</v>
      </c>
      <c r="B127">
        <f>LEN(Table1[[#This Row],[name]])</f>
        <v>20</v>
      </c>
      <c r="C127" t="str">
        <f>IF(Table1[[#This Row],[online_order]]="yes","online","ofline")</f>
        <v>ofline</v>
      </c>
      <c r="D127" t="s">
        <v>12</v>
      </c>
      <c r="E127" t="str">
        <f>IF(Table1[[#This Row],[book_table]]="Yes","Booking Avalibal","Fals")</f>
        <v>Fals</v>
      </c>
      <c r="F127" t="s">
        <v>12</v>
      </c>
      <c r="G127" t="s">
        <v>100</v>
      </c>
      <c r="H127">
        <v>0</v>
      </c>
      <c r="I127" t="str">
        <f>CONCATENATE(Table1[[#This Row],[rate]],"-",Table1[[#This Row],[votes]])</f>
        <v>2.9/5-0</v>
      </c>
      <c r="J127">
        <v>400</v>
      </c>
      <c r="K127" t="s">
        <v>57</v>
      </c>
    </row>
    <row r="128" spans="1:11" x14ac:dyDescent="0.25">
      <c r="A128" t="s">
        <v>156</v>
      </c>
      <c r="B128">
        <f>LEN(Table1[[#This Row],[name]])</f>
        <v>23</v>
      </c>
      <c r="C128" t="str">
        <f>IF(Table1[[#This Row],[online_order]]="yes","online","ofline")</f>
        <v>ofline</v>
      </c>
      <c r="D128" t="s">
        <v>12</v>
      </c>
      <c r="E128" t="str">
        <f>IF(Table1[[#This Row],[book_table]]="Yes","Booking Avalibal","Fals")</f>
        <v>Fals</v>
      </c>
      <c r="F128" t="s">
        <v>12</v>
      </c>
      <c r="G128" t="s">
        <v>100</v>
      </c>
      <c r="H128">
        <v>0</v>
      </c>
      <c r="I128" t="str">
        <f>CONCATENATE(Table1[[#This Row],[rate]],"-",Table1[[#This Row],[votes]])</f>
        <v>2.9/5-0</v>
      </c>
      <c r="J128">
        <v>350</v>
      </c>
      <c r="K128" t="s">
        <v>57</v>
      </c>
    </row>
    <row r="129" spans="1:11" x14ac:dyDescent="0.25">
      <c r="A129" t="s">
        <v>157</v>
      </c>
      <c r="B129">
        <f>LEN(Table1[[#This Row],[name]])</f>
        <v>13</v>
      </c>
      <c r="C129" t="str">
        <f>IF(Table1[[#This Row],[online_order]]="yes","online","ofline")</f>
        <v>ofline</v>
      </c>
      <c r="D129" t="s">
        <v>12</v>
      </c>
      <c r="E129" t="str">
        <f>IF(Table1[[#This Row],[book_table]]="Yes","Booking Avalibal","Fals")</f>
        <v>Fals</v>
      </c>
      <c r="F129" t="s">
        <v>12</v>
      </c>
      <c r="G129" t="s">
        <v>50</v>
      </c>
      <c r="H129">
        <v>8</v>
      </c>
      <c r="I129" t="str">
        <f>CONCATENATE(Table1[[#This Row],[rate]],"-",Table1[[#This Row],[votes]])</f>
        <v>3.3/5-8</v>
      </c>
      <c r="J129">
        <v>100</v>
      </c>
      <c r="K129" t="s">
        <v>57</v>
      </c>
    </row>
    <row r="130" spans="1:11" x14ac:dyDescent="0.25">
      <c r="A130" t="s">
        <v>158</v>
      </c>
      <c r="B130">
        <f>LEN(Table1[[#This Row],[name]])</f>
        <v>17</v>
      </c>
      <c r="C130" t="str">
        <f>IF(Table1[[#This Row],[online_order]]="yes","online","ofline")</f>
        <v>ofline</v>
      </c>
      <c r="D130" t="s">
        <v>12</v>
      </c>
      <c r="E130" t="str">
        <f>IF(Table1[[#This Row],[book_table]]="Yes","Booking Avalibal","Fals")</f>
        <v>Fals</v>
      </c>
      <c r="F130" t="s">
        <v>12</v>
      </c>
      <c r="G130" t="s">
        <v>50</v>
      </c>
      <c r="H130">
        <v>0</v>
      </c>
      <c r="I130" t="str">
        <f>CONCATENATE(Table1[[#This Row],[rate]],"-",Table1[[#This Row],[votes]])</f>
        <v>3.3/5-0</v>
      </c>
      <c r="J130">
        <v>150</v>
      </c>
      <c r="K130" t="s">
        <v>57</v>
      </c>
    </row>
    <row r="131" spans="1:11" x14ac:dyDescent="0.25">
      <c r="A131" t="s">
        <v>159</v>
      </c>
      <c r="B131">
        <f>LEN(Table1[[#This Row],[name]])</f>
        <v>33</v>
      </c>
      <c r="C131" t="str">
        <f>IF(Table1[[#This Row],[online_order]]="yes","online","ofline")</f>
        <v>ofline</v>
      </c>
      <c r="D131" t="s">
        <v>12</v>
      </c>
      <c r="E131" t="str">
        <f>IF(Table1[[#This Row],[book_table]]="Yes","Booking Avalibal","Fals")</f>
        <v>Fals</v>
      </c>
      <c r="F131" t="s">
        <v>12</v>
      </c>
      <c r="G131" t="s">
        <v>136</v>
      </c>
      <c r="H131">
        <v>0</v>
      </c>
      <c r="I131" t="str">
        <f>CONCATENATE(Table1[[#This Row],[rate]],"-",Table1[[#This Row],[votes]])</f>
        <v>3.4/5-0</v>
      </c>
      <c r="J131">
        <v>150</v>
      </c>
      <c r="K131" t="s">
        <v>57</v>
      </c>
    </row>
    <row r="132" spans="1:11" x14ac:dyDescent="0.25">
      <c r="A132" t="s">
        <v>160</v>
      </c>
      <c r="B132">
        <f>LEN(Table1[[#This Row],[name]])</f>
        <v>20</v>
      </c>
      <c r="C132" t="str">
        <f>IF(Table1[[#This Row],[online_order]]="yes","online","ofline")</f>
        <v>ofline</v>
      </c>
      <c r="D132" t="s">
        <v>12</v>
      </c>
      <c r="E132" t="str">
        <f>IF(Table1[[#This Row],[book_table]]="Yes","Booking Avalibal","Fals")</f>
        <v>Fals</v>
      </c>
      <c r="F132" t="s">
        <v>12</v>
      </c>
      <c r="G132" t="s">
        <v>136</v>
      </c>
      <c r="H132">
        <v>0</v>
      </c>
      <c r="I132" t="str">
        <f>CONCATENATE(Table1[[#This Row],[rate]],"-",Table1[[#This Row],[votes]])</f>
        <v>3.4/5-0</v>
      </c>
      <c r="J132">
        <v>200</v>
      </c>
      <c r="K132" t="s">
        <v>57</v>
      </c>
    </row>
    <row r="133" spans="1:11" x14ac:dyDescent="0.25">
      <c r="A133" t="s">
        <v>161</v>
      </c>
      <c r="B133">
        <f>LEN(Table1[[#This Row],[name]])</f>
        <v>25</v>
      </c>
      <c r="C133" t="str">
        <f>IF(Table1[[#This Row],[online_order]]="yes","online","ofline")</f>
        <v>ofline</v>
      </c>
      <c r="D133" t="s">
        <v>12</v>
      </c>
      <c r="E133" t="str">
        <f>IF(Table1[[#This Row],[book_table]]="Yes","Booking Avalibal","Fals")</f>
        <v>Fals</v>
      </c>
      <c r="F133" t="s">
        <v>12</v>
      </c>
      <c r="G133" t="s">
        <v>136</v>
      </c>
      <c r="H133">
        <v>0</v>
      </c>
      <c r="I133" t="str">
        <f>CONCATENATE(Table1[[#This Row],[rate]],"-",Table1[[#This Row],[votes]])</f>
        <v>3.4/5-0</v>
      </c>
      <c r="J133">
        <v>100</v>
      </c>
      <c r="K133" t="s">
        <v>57</v>
      </c>
    </row>
    <row r="134" spans="1:11" x14ac:dyDescent="0.25">
      <c r="A134" t="s">
        <v>162</v>
      </c>
      <c r="B134">
        <f>LEN(Table1[[#This Row],[name]])</f>
        <v>33</v>
      </c>
      <c r="C134" t="str">
        <f>IF(Table1[[#This Row],[online_order]]="yes","online","ofline")</f>
        <v>ofline</v>
      </c>
      <c r="D134" t="s">
        <v>12</v>
      </c>
      <c r="E134" t="str">
        <f>IF(Table1[[#This Row],[book_table]]="Yes","Booking Avalibal","Fals")</f>
        <v>Fals</v>
      </c>
      <c r="F134" t="s">
        <v>12</v>
      </c>
      <c r="G134" t="s">
        <v>39</v>
      </c>
      <c r="H134">
        <v>0</v>
      </c>
      <c r="I134" t="str">
        <f>CONCATENATE(Table1[[#This Row],[rate]],"-",Table1[[#This Row],[votes]])</f>
        <v>3.1/5-0</v>
      </c>
      <c r="J134">
        <v>400</v>
      </c>
      <c r="K134" t="s">
        <v>57</v>
      </c>
    </row>
    <row r="135" spans="1:11" x14ac:dyDescent="0.25">
      <c r="A135" t="s">
        <v>163</v>
      </c>
      <c r="B135">
        <f>LEN(Table1[[#This Row],[name]])</f>
        <v>17</v>
      </c>
      <c r="C135" t="str">
        <f>IF(Table1[[#This Row],[online_order]]="yes","online","ofline")</f>
        <v>ofline</v>
      </c>
      <c r="D135" t="s">
        <v>12</v>
      </c>
      <c r="E135" t="str">
        <f>IF(Table1[[#This Row],[book_table]]="Yes","Booking Avalibal","Fals")</f>
        <v>Fals</v>
      </c>
      <c r="F135" t="s">
        <v>12</v>
      </c>
      <c r="G135" t="s">
        <v>9</v>
      </c>
      <c r="H135">
        <v>0</v>
      </c>
      <c r="I135" t="str">
        <f>CONCATENATE(Table1[[#This Row],[rate]],"-",Table1[[#This Row],[votes]])</f>
        <v>4.1/5-0</v>
      </c>
      <c r="J135">
        <v>200</v>
      </c>
      <c r="K135" t="s">
        <v>57</v>
      </c>
    </row>
    <row r="136" spans="1:11" x14ac:dyDescent="0.25">
      <c r="A136" t="s">
        <v>164</v>
      </c>
      <c r="B136">
        <f>LEN(Table1[[#This Row],[name]])</f>
        <v>15</v>
      </c>
      <c r="C136" t="str">
        <f>IF(Table1[[#This Row],[online_order]]="yes","online","ofline")</f>
        <v>ofline</v>
      </c>
      <c r="D136" t="s">
        <v>12</v>
      </c>
      <c r="E136" t="str">
        <f>IF(Table1[[#This Row],[book_table]]="Yes","Booking Avalibal","Fals")</f>
        <v>Fals</v>
      </c>
      <c r="F136" t="s">
        <v>12</v>
      </c>
      <c r="G136" t="s">
        <v>50</v>
      </c>
      <c r="H136">
        <v>0</v>
      </c>
      <c r="I136" t="str">
        <f>CONCATENATE(Table1[[#This Row],[rate]],"-",Table1[[#This Row],[votes]])</f>
        <v>3.3/5-0</v>
      </c>
      <c r="J136">
        <v>150</v>
      </c>
      <c r="K136" t="s">
        <v>57</v>
      </c>
    </row>
    <row r="137" spans="1:11" x14ac:dyDescent="0.25">
      <c r="A137" t="s">
        <v>165</v>
      </c>
      <c r="B137">
        <f>LEN(Table1[[#This Row],[name]])</f>
        <v>12</v>
      </c>
      <c r="C137" t="str">
        <f>IF(Table1[[#This Row],[online_order]]="yes","online","ofline")</f>
        <v>ofline</v>
      </c>
      <c r="D137" t="s">
        <v>12</v>
      </c>
      <c r="E137" t="str">
        <f>IF(Table1[[#This Row],[book_table]]="Yes","Booking Avalibal","Fals")</f>
        <v>Fals</v>
      </c>
      <c r="F137" t="s">
        <v>12</v>
      </c>
      <c r="G137" t="s">
        <v>39</v>
      </c>
      <c r="H137">
        <v>0</v>
      </c>
      <c r="I137" t="str">
        <f>CONCATENATE(Table1[[#This Row],[rate]],"-",Table1[[#This Row],[votes]])</f>
        <v>3.1/5-0</v>
      </c>
      <c r="J137">
        <v>400</v>
      </c>
      <c r="K137" t="s">
        <v>57</v>
      </c>
    </row>
    <row r="138" spans="1:11" x14ac:dyDescent="0.25">
      <c r="A138" t="s">
        <v>166</v>
      </c>
      <c r="B138">
        <f>LEN(Table1[[#This Row],[name]])</f>
        <v>18</v>
      </c>
      <c r="C138" t="str">
        <f>IF(Table1[[#This Row],[online_order]]="yes","online","ofline")</f>
        <v>ofline</v>
      </c>
      <c r="D138" t="s">
        <v>12</v>
      </c>
      <c r="E138" t="str">
        <f>IF(Table1[[#This Row],[book_table]]="Yes","Booking Avalibal","Fals")</f>
        <v>Fals</v>
      </c>
      <c r="F138" t="s">
        <v>12</v>
      </c>
      <c r="G138" t="s">
        <v>50</v>
      </c>
      <c r="H138">
        <v>0</v>
      </c>
      <c r="I138" t="str">
        <f>CONCATENATE(Table1[[#This Row],[rate]],"-",Table1[[#This Row],[votes]])</f>
        <v>3.3/5-0</v>
      </c>
      <c r="J138">
        <v>150</v>
      </c>
      <c r="K138" t="s">
        <v>57</v>
      </c>
    </row>
    <row r="139" spans="1:11" x14ac:dyDescent="0.25">
      <c r="A139" t="s">
        <v>167</v>
      </c>
      <c r="B139">
        <f>LEN(Table1[[#This Row],[name]])</f>
        <v>20</v>
      </c>
      <c r="C139" t="str">
        <f>IF(Table1[[#This Row],[online_order]]="yes","online","ofline")</f>
        <v>ofline</v>
      </c>
      <c r="D139" t="s">
        <v>12</v>
      </c>
      <c r="E139" t="str">
        <f>IF(Table1[[#This Row],[book_table]]="Yes","Booking Avalibal","Fals")</f>
        <v>Fals</v>
      </c>
      <c r="F139" t="s">
        <v>12</v>
      </c>
      <c r="G139" t="s">
        <v>100</v>
      </c>
      <c r="H139">
        <v>0</v>
      </c>
      <c r="I139" t="str">
        <f>CONCATENATE(Table1[[#This Row],[rate]],"-",Table1[[#This Row],[votes]])</f>
        <v>2.9/5-0</v>
      </c>
      <c r="J139">
        <v>250</v>
      </c>
      <c r="K139" t="s">
        <v>57</v>
      </c>
    </row>
    <row r="140" spans="1:11" x14ac:dyDescent="0.25">
      <c r="A140" t="s">
        <v>168</v>
      </c>
      <c r="B140">
        <f>LEN(Table1[[#This Row],[name]])</f>
        <v>28</v>
      </c>
      <c r="C140" t="str">
        <f>IF(Table1[[#This Row],[online_order]]="yes","online","ofline")</f>
        <v>ofline</v>
      </c>
      <c r="D140" t="s">
        <v>12</v>
      </c>
      <c r="E140" t="str">
        <f>IF(Table1[[#This Row],[book_table]]="Yes","Booking Avalibal","Fals")</f>
        <v>Fals</v>
      </c>
      <c r="F140" t="s">
        <v>12</v>
      </c>
      <c r="G140" t="s">
        <v>100</v>
      </c>
      <c r="H140">
        <v>0</v>
      </c>
      <c r="I140" t="str">
        <f>CONCATENATE(Table1[[#This Row],[rate]],"-",Table1[[#This Row],[votes]])</f>
        <v>2.9/5-0</v>
      </c>
      <c r="J140">
        <v>250</v>
      </c>
      <c r="K140" t="s">
        <v>57</v>
      </c>
    </row>
    <row r="141" spans="1:11" x14ac:dyDescent="0.25">
      <c r="A141" t="s">
        <v>169</v>
      </c>
      <c r="B141">
        <f>LEN(Table1[[#This Row],[name]])</f>
        <v>22</v>
      </c>
      <c r="C141" t="str">
        <f>IF(Table1[[#This Row],[online_order]]="yes","online","ofline")</f>
        <v>ofline</v>
      </c>
      <c r="D141" t="s">
        <v>12</v>
      </c>
      <c r="E141" t="str">
        <f>IF(Table1[[#This Row],[book_table]]="Yes","Booking Avalibal","Fals")</f>
        <v>Fals</v>
      </c>
      <c r="F141" t="s">
        <v>12</v>
      </c>
      <c r="G141" t="s">
        <v>100</v>
      </c>
      <c r="H141">
        <v>0</v>
      </c>
      <c r="I141" t="str">
        <f>CONCATENATE(Table1[[#This Row],[rate]],"-",Table1[[#This Row],[votes]])</f>
        <v>2.9/5-0</v>
      </c>
      <c r="J141">
        <v>150</v>
      </c>
      <c r="K141" t="s">
        <v>57</v>
      </c>
    </row>
    <row r="142" spans="1:11" x14ac:dyDescent="0.25">
      <c r="A142" t="s">
        <v>170</v>
      </c>
      <c r="B142">
        <f>LEN(Table1[[#This Row],[name]])</f>
        <v>10</v>
      </c>
      <c r="C142" t="str">
        <f>IF(Table1[[#This Row],[online_order]]="yes","online","ofline")</f>
        <v>ofline</v>
      </c>
      <c r="D142" t="s">
        <v>12</v>
      </c>
      <c r="E142" t="str">
        <f>IF(Table1[[#This Row],[book_table]]="Yes","Booking Avalibal","Fals")</f>
        <v>Fals</v>
      </c>
      <c r="F142" t="s">
        <v>12</v>
      </c>
      <c r="G142" t="s">
        <v>50</v>
      </c>
      <c r="H142">
        <v>0</v>
      </c>
      <c r="I142" t="str">
        <f>CONCATENATE(Table1[[#This Row],[rate]],"-",Table1[[#This Row],[votes]])</f>
        <v>3.3/5-0</v>
      </c>
      <c r="J142">
        <v>200</v>
      </c>
      <c r="K142" t="s">
        <v>57</v>
      </c>
    </row>
    <row r="143" spans="1:11" x14ac:dyDescent="0.25">
      <c r="A143" t="s">
        <v>171</v>
      </c>
      <c r="B143">
        <f>LEN(Table1[[#This Row],[name]])</f>
        <v>22</v>
      </c>
      <c r="C143" t="str">
        <f>IF(Table1[[#This Row],[online_order]]="yes","online","ofline")</f>
        <v>ofline</v>
      </c>
      <c r="D143" t="s">
        <v>12</v>
      </c>
      <c r="E143" t="str">
        <f>IF(Table1[[#This Row],[book_table]]="Yes","Booking Avalibal","Fals")</f>
        <v>Fals</v>
      </c>
      <c r="F143" t="s">
        <v>12</v>
      </c>
      <c r="G143" t="s">
        <v>50</v>
      </c>
      <c r="H143">
        <v>0</v>
      </c>
      <c r="I143" t="str">
        <f>CONCATENATE(Table1[[#This Row],[rate]],"-",Table1[[#This Row],[votes]])</f>
        <v>3.3/5-0</v>
      </c>
      <c r="J143">
        <v>350</v>
      </c>
      <c r="K143" t="s">
        <v>57</v>
      </c>
    </row>
    <row r="144" spans="1:11" x14ac:dyDescent="0.25">
      <c r="A144" t="s">
        <v>172</v>
      </c>
      <c r="B144">
        <f>LEN(Table1[[#This Row],[name]])</f>
        <v>21</v>
      </c>
      <c r="C144" t="str">
        <f>IF(Table1[[#This Row],[online_order]]="yes","online","ofline")</f>
        <v>ofline</v>
      </c>
      <c r="D144" t="s">
        <v>12</v>
      </c>
      <c r="E144" t="str">
        <f>IF(Table1[[#This Row],[book_table]]="Yes","Booking Avalibal","Fals")</f>
        <v>Fals</v>
      </c>
      <c r="F144" t="s">
        <v>12</v>
      </c>
      <c r="G144" t="s">
        <v>50</v>
      </c>
      <c r="H144">
        <v>0</v>
      </c>
      <c r="I144" t="str">
        <f>CONCATENATE(Table1[[#This Row],[rate]],"-",Table1[[#This Row],[votes]])</f>
        <v>3.3/5-0</v>
      </c>
      <c r="J144">
        <v>300</v>
      </c>
      <c r="K144" t="s">
        <v>57</v>
      </c>
    </row>
    <row r="145" spans="1:11" x14ac:dyDescent="0.25">
      <c r="A145" t="s">
        <v>173</v>
      </c>
      <c r="B145">
        <f>LEN(Table1[[#This Row],[name]])</f>
        <v>16</v>
      </c>
      <c r="C145" t="str">
        <f>IF(Table1[[#This Row],[online_order]]="yes","online","ofline")</f>
        <v>ofline</v>
      </c>
      <c r="D145" t="s">
        <v>12</v>
      </c>
      <c r="E145" t="str">
        <f>IF(Table1[[#This Row],[book_table]]="Yes","Booking Avalibal","Fals")</f>
        <v>Fals</v>
      </c>
      <c r="F145" t="s">
        <v>12</v>
      </c>
      <c r="G145" t="s">
        <v>50</v>
      </c>
      <c r="H145">
        <v>0</v>
      </c>
      <c r="I145" t="str">
        <f>CONCATENATE(Table1[[#This Row],[rate]],"-",Table1[[#This Row],[votes]])</f>
        <v>3.3/5-0</v>
      </c>
      <c r="J145">
        <v>100</v>
      </c>
      <c r="K145" t="s">
        <v>57</v>
      </c>
    </row>
    <row r="146" spans="1:11" x14ac:dyDescent="0.25">
      <c r="A146" t="s">
        <v>174</v>
      </c>
      <c r="B146">
        <f>LEN(Table1[[#This Row],[name]])</f>
        <v>15</v>
      </c>
      <c r="C146" t="str">
        <f>IF(Table1[[#This Row],[online_order]]="yes","online","ofline")</f>
        <v>ofline</v>
      </c>
      <c r="D146" t="s">
        <v>12</v>
      </c>
      <c r="E146" t="str">
        <f>IF(Table1[[#This Row],[book_table]]="Yes","Booking Avalibal","Fals")</f>
        <v>Fals</v>
      </c>
      <c r="F146" t="s">
        <v>12</v>
      </c>
      <c r="G146" t="s">
        <v>50</v>
      </c>
      <c r="H146">
        <v>0</v>
      </c>
      <c r="I146" t="str">
        <f>CONCATENATE(Table1[[#This Row],[rate]],"-",Table1[[#This Row],[votes]])</f>
        <v>3.3/5-0</v>
      </c>
      <c r="J146">
        <v>150</v>
      </c>
      <c r="K146" t="s">
        <v>57</v>
      </c>
    </row>
    <row r="147" spans="1:11" x14ac:dyDescent="0.25">
      <c r="A147" t="s">
        <v>175</v>
      </c>
      <c r="B147">
        <f>LEN(Table1[[#This Row],[name]])</f>
        <v>12</v>
      </c>
      <c r="C147" t="str">
        <f>IF(Table1[[#This Row],[online_order]]="yes","online","ofline")</f>
        <v>online</v>
      </c>
      <c r="D147" t="s">
        <v>8</v>
      </c>
      <c r="E147" t="str">
        <f>IF(Table1[[#This Row],[book_table]]="Yes","Booking Avalibal","Fals")</f>
        <v>Fals</v>
      </c>
      <c r="F147" t="s">
        <v>12</v>
      </c>
      <c r="G147" t="s">
        <v>25</v>
      </c>
      <c r="H147">
        <v>771</v>
      </c>
      <c r="I147" t="str">
        <f>CONCATENATE(Table1[[#This Row],[rate]],"-",Table1[[#This Row],[votes]])</f>
        <v>4.0/5-771</v>
      </c>
      <c r="J147">
        <v>450</v>
      </c>
      <c r="K147" t="s">
        <v>57</v>
      </c>
    </row>
    <row r="148" spans="1:11" x14ac:dyDescent="0.25">
      <c r="A148" t="s">
        <v>176</v>
      </c>
      <c r="B148">
        <f>LEN(Table1[[#This Row],[name]])</f>
        <v>6</v>
      </c>
      <c r="C148" t="str">
        <f>IF(Table1[[#This Row],[online_order]]="yes","online","ofline")</f>
        <v>ofline</v>
      </c>
      <c r="D148" t="s">
        <v>12</v>
      </c>
      <c r="E148" t="str">
        <f>IF(Table1[[#This Row],[book_table]]="Yes","Booking Avalibal","Fals")</f>
        <v>Fals</v>
      </c>
      <c r="F148" t="s">
        <v>12</v>
      </c>
      <c r="G148" t="s">
        <v>41</v>
      </c>
      <c r="H148">
        <v>98</v>
      </c>
      <c r="I148" t="str">
        <f>CONCATENATE(Table1[[#This Row],[rate]],"-",Table1[[#This Row],[votes]])</f>
        <v>3.0/5-98</v>
      </c>
      <c r="J148">
        <v>800</v>
      </c>
      <c r="K148" t="s">
        <v>57</v>
      </c>
    </row>
    <row r="149" spans="1:11" x14ac:dyDescent="0.25">
      <c r="A149" t="s">
        <v>177</v>
      </c>
      <c r="B149">
        <f>LEN(Table1[[#This Row],[name]])</f>
        <v>13</v>
      </c>
      <c r="C149" t="str">
        <f>IF(Table1[[#This Row],[online_order]]="yes","online","ofline")</f>
        <v>online</v>
      </c>
      <c r="D149" t="s">
        <v>8</v>
      </c>
      <c r="E149" t="str">
        <f>IF(Table1[[#This Row],[book_table]]="Yes","Booking Avalibal","Fals")</f>
        <v>Fals</v>
      </c>
      <c r="F149" t="s">
        <v>12</v>
      </c>
      <c r="G149" t="s">
        <v>35</v>
      </c>
      <c r="H149">
        <v>47</v>
      </c>
      <c r="I149" t="str">
        <f>CONCATENATE(Table1[[#This Row],[rate]],"-",Table1[[#This Row],[votes]])</f>
        <v>3.9/5-47</v>
      </c>
      <c r="J149">
        <v>200</v>
      </c>
      <c r="K149" t="s">
        <v>57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A3" sqref="A3"/>
    </sheetView>
  </sheetViews>
  <sheetFormatPr defaultRowHeight="15" x14ac:dyDescent="0.25"/>
  <cols>
    <col min="1" max="1" width="12.5703125" customWidth="1"/>
    <col min="4" max="4" width="11.140625" customWidth="1"/>
  </cols>
  <sheetData>
    <row r="1" spans="1:4" x14ac:dyDescent="0.25">
      <c r="A1" t="s">
        <v>178</v>
      </c>
      <c r="B1">
        <v>58</v>
      </c>
      <c r="D1" t="s">
        <v>180</v>
      </c>
    </row>
    <row r="2" spans="1:4" x14ac:dyDescent="0.25">
      <c r="A2" t="s">
        <v>179</v>
      </c>
      <c r="B2">
        <v>90</v>
      </c>
      <c r="D2">
        <f>SUM(B1,B2)</f>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Sheet1</vt:lpstr>
      <vt:lpstr>Sheet3</vt:lpstr>
      <vt:lpstr>Sheet4</vt:lpstr>
      <vt:lpstr>Sheet5</vt:lpstr>
      <vt:lpstr>zemoto dataset</vt:lpstr>
      <vt:lpstr>Questions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2026-07-09T06:31:20Z</dcterms:created>
  <dcterms:modified xsi:type="dcterms:W3CDTF">2026-07-11T14:43:45Z</dcterms:modified>
</cp:coreProperties>
</file>